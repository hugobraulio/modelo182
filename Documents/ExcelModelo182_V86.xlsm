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0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hugobraulio/Desktop/Trabajos/Modelo 182/"/>
    </mc:Choice>
  </mc:AlternateContent>
  <xr:revisionPtr revIDLastSave="0" documentId="13_ncr:1_{48508ED6-DCC6-6C41-BB86-56A3289B01A0}" xr6:coauthVersionLast="47" xr6:coauthVersionMax="47" xr10:uidLastSave="{00000000-0000-0000-0000-000000000000}"/>
  <bookViews>
    <workbookView xWindow="8240" yWindow="500" windowWidth="20560" windowHeight="12940" xr2:uid="{00000000-000D-0000-FFFF-FFFF00000000}"/>
  </bookViews>
  <sheets>
    <sheet name="PRESENTADOR" sheetId="4" r:id="rId1"/>
    <sheet name="SOCIOSYDATOS" sheetId="2" r:id="rId2"/>
    <sheet name="PROVINCIAS" sheetId="1" r:id="rId3"/>
  </sheets>
  <definedNames>
    <definedName name="_xlnm._FilterDatabase" localSheetId="1" hidden="1">SOCIOSYDATOS!$A$1:$Q$76</definedName>
    <definedName name="MSGBOX">PRESENTADOR!$A$2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2" i="2"/>
  <c r="C13" i="4" l="1"/>
  <c r="C12" i="4"/>
  <c r="U167" i="2"/>
  <c r="U384" i="2"/>
  <c r="U172" i="2"/>
  <c r="U121" i="2"/>
  <c r="U329" i="2"/>
  <c r="U278" i="2"/>
  <c r="U371" i="2"/>
  <c r="U377" i="2"/>
  <c r="U203" i="2"/>
  <c r="U81" i="2"/>
  <c r="U208" i="2"/>
  <c r="U189" i="2"/>
  <c r="U74" i="2"/>
  <c r="U50" i="2"/>
  <c r="U40" i="2"/>
  <c r="U170" i="2"/>
  <c r="U223" i="2"/>
  <c r="U125" i="2"/>
  <c r="U228" i="2"/>
  <c r="U70" i="2"/>
  <c r="U154" i="2"/>
  <c r="U130" i="2"/>
  <c r="U104" i="2"/>
  <c r="U30" i="2"/>
  <c r="K104" i="2"/>
  <c r="K93" i="2"/>
  <c r="K162" i="2"/>
  <c r="K382" i="2"/>
  <c r="K250" i="2"/>
  <c r="K261" i="2"/>
  <c r="U247" i="2"/>
  <c r="U177" i="2"/>
  <c r="U252" i="2"/>
  <c r="U166" i="2"/>
  <c r="U221" i="2"/>
  <c r="U241" i="2"/>
  <c r="U136" i="2"/>
  <c r="U27" i="2"/>
  <c r="U283" i="2"/>
  <c r="U32" i="2"/>
  <c r="U288" i="2"/>
  <c r="U250" i="2"/>
  <c r="U293" i="2"/>
  <c r="U385" i="2"/>
  <c r="U264" i="2"/>
  <c r="U47" i="2"/>
  <c r="U303" i="2"/>
  <c r="U52" i="2"/>
  <c r="U308" i="2"/>
  <c r="U290" i="2"/>
  <c r="U333" i="2"/>
  <c r="U99" i="2"/>
  <c r="U336" i="2"/>
  <c r="U390" i="2"/>
  <c r="K236" i="2"/>
  <c r="K302" i="2"/>
  <c r="K238" i="2"/>
  <c r="K116" i="2"/>
  <c r="K351" i="2"/>
  <c r="K274" i="2"/>
  <c r="K363" i="2"/>
  <c r="U263" i="2"/>
  <c r="U231" i="2"/>
  <c r="U141" i="2"/>
  <c r="U236" i="2"/>
  <c r="U102" i="2"/>
  <c r="U186" i="2"/>
  <c r="U178" i="2"/>
  <c r="U88" i="2"/>
  <c r="U11" i="2"/>
  <c r="U267" i="2"/>
  <c r="U16" i="2"/>
  <c r="U272" i="2"/>
  <c r="U218" i="2"/>
  <c r="U261" i="2"/>
  <c r="U321" i="2"/>
  <c r="U216" i="2"/>
  <c r="U31" i="2"/>
  <c r="U287" i="2"/>
  <c r="U36" i="2"/>
  <c r="U292" i="2"/>
  <c r="U258" i="2"/>
  <c r="U301" i="2"/>
  <c r="U19" i="2"/>
  <c r="U296" i="2"/>
  <c r="U225" i="2"/>
  <c r="K97" i="2"/>
  <c r="K262" i="2"/>
  <c r="K34" i="2"/>
  <c r="K128" i="2"/>
  <c r="K121" i="2"/>
  <c r="K222" i="2"/>
  <c r="U55" i="2"/>
  <c r="U311" i="2"/>
  <c r="U60" i="2"/>
  <c r="U316" i="2"/>
  <c r="U306" i="2"/>
  <c r="U349" i="2"/>
  <c r="U67" i="2"/>
  <c r="U364" i="2"/>
  <c r="U91" i="2"/>
  <c r="U347" i="2"/>
  <c r="U96" i="2"/>
  <c r="U380" i="2"/>
  <c r="U378" i="2"/>
  <c r="U62" i="2"/>
  <c r="U211" i="2"/>
  <c r="U145" i="2"/>
  <c r="U111" i="2"/>
  <c r="U367" i="2"/>
  <c r="U116" i="2"/>
  <c r="U21" i="2"/>
  <c r="U342" i="2"/>
  <c r="U142" i="2"/>
  <c r="U291" i="2"/>
  <c r="U202" i="2"/>
  <c r="U289" i="2"/>
  <c r="K171" i="2"/>
  <c r="K30" i="2"/>
  <c r="K350" i="2"/>
  <c r="K365" i="2"/>
  <c r="K385" i="2"/>
  <c r="K336" i="2"/>
  <c r="K71" i="2"/>
  <c r="U391" i="2"/>
  <c r="U39" i="2"/>
  <c r="U295" i="2"/>
  <c r="U44" i="2"/>
  <c r="U300" i="2"/>
  <c r="U274" i="2"/>
  <c r="U317" i="2"/>
  <c r="U51" i="2"/>
  <c r="U280" i="2"/>
  <c r="U75" i="2"/>
  <c r="U331" i="2"/>
  <c r="U80" i="2"/>
  <c r="U352" i="2"/>
  <c r="U346" i="2"/>
  <c r="U389" i="2"/>
  <c r="U163" i="2"/>
  <c r="U53" i="2"/>
  <c r="U95" i="2"/>
  <c r="U351" i="2"/>
  <c r="U100" i="2"/>
  <c r="U388" i="2"/>
  <c r="U386" i="2"/>
  <c r="U78" i="2"/>
  <c r="U243" i="2"/>
  <c r="U22" i="2"/>
  <c r="U206" i="2"/>
  <c r="K182" i="2"/>
  <c r="K280" i="2"/>
  <c r="K229" i="2"/>
  <c r="K50" i="2"/>
  <c r="K259" i="2"/>
  <c r="K235" i="2"/>
  <c r="U119" i="2"/>
  <c r="U375" i="2"/>
  <c r="U124" i="2"/>
  <c r="U29" i="2"/>
  <c r="U374" i="2"/>
  <c r="U174" i="2"/>
  <c r="U227" i="2"/>
  <c r="U266" i="2"/>
  <c r="U155" i="2"/>
  <c r="U356" i="2"/>
  <c r="U160" i="2"/>
  <c r="U97" i="2"/>
  <c r="U281" i="2"/>
  <c r="U254" i="2"/>
  <c r="U387" i="2"/>
  <c r="U294" i="2"/>
  <c r="U175" i="2"/>
  <c r="U9" i="2"/>
  <c r="U180" i="2"/>
  <c r="U137" i="2"/>
  <c r="U361" i="2"/>
  <c r="U302" i="2"/>
  <c r="U133" i="2"/>
  <c r="U106" i="2"/>
  <c r="K29" i="2"/>
  <c r="K28" i="2"/>
  <c r="K123" i="2"/>
  <c r="K232" i="2"/>
  <c r="K181" i="2"/>
  <c r="K69" i="2"/>
  <c r="K214" i="2"/>
  <c r="U7" i="2"/>
  <c r="U12" i="2"/>
  <c r="U210" i="2"/>
  <c r="U305" i="2"/>
  <c r="U43" i="2"/>
  <c r="U48" i="2"/>
  <c r="U282" i="2"/>
  <c r="U35" i="2"/>
  <c r="U63" i="2"/>
  <c r="U68" i="2"/>
  <c r="U322" i="2"/>
  <c r="U147" i="2"/>
  <c r="U82" i="2"/>
  <c r="K327" i="2"/>
  <c r="K83" i="2"/>
  <c r="K246" i="2"/>
  <c r="K212" i="2"/>
  <c r="K54" i="2"/>
  <c r="K301" i="2"/>
  <c r="K136" i="2"/>
  <c r="K367" i="2"/>
  <c r="K113" i="2"/>
  <c r="K183" i="2"/>
  <c r="K383" i="2"/>
  <c r="K290" i="2"/>
  <c r="K340" i="2"/>
  <c r="K308" i="2"/>
  <c r="K99" i="2"/>
  <c r="K32" i="2"/>
  <c r="K20" i="2"/>
  <c r="K36" i="2"/>
  <c r="K241" i="2"/>
  <c r="K297" i="2"/>
  <c r="K362" i="2"/>
  <c r="F104" i="2"/>
  <c r="U199" i="2"/>
  <c r="U58" i="2"/>
  <c r="U235" i="2"/>
  <c r="U197" i="2"/>
  <c r="U255" i="2"/>
  <c r="U237" i="2"/>
  <c r="K169" i="2"/>
  <c r="K167" i="2"/>
  <c r="K198" i="2"/>
  <c r="U279" i="2"/>
  <c r="U284" i="2"/>
  <c r="U285" i="2"/>
  <c r="U232" i="2"/>
  <c r="U315" i="2"/>
  <c r="U320" i="2"/>
  <c r="U357" i="2"/>
  <c r="U5" i="2"/>
  <c r="U335" i="2"/>
  <c r="U360" i="2"/>
  <c r="U14" i="2"/>
  <c r="U113" i="2"/>
  <c r="K124" i="2"/>
  <c r="K15" i="2"/>
  <c r="K209" i="2"/>
  <c r="K316" i="2"/>
  <c r="K389" i="2"/>
  <c r="U103" i="2"/>
  <c r="U359" i="2"/>
  <c r="U108" i="2"/>
  <c r="U13" i="2"/>
  <c r="U310" i="2"/>
  <c r="U110" i="2"/>
  <c r="U179" i="2"/>
  <c r="U150" i="2"/>
  <c r="U139" i="2"/>
  <c r="U324" i="2"/>
  <c r="U144" i="2"/>
  <c r="U69" i="2"/>
  <c r="U217" i="2"/>
  <c r="U222" i="2"/>
  <c r="U339" i="2"/>
  <c r="U298" i="2"/>
  <c r="U159" i="2"/>
  <c r="U368" i="2"/>
  <c r="U164" i="2"/>
  <c r="U105" i="2"/>
  <c r="U297" i="2"/>
  <c r="U262" i="2"/>
  <c r="U33" i="2"/>
  <c r="U313" i="2"/>
  <c r="U270" i="2"/>
  <c r="K151" i="2"/>
  <c r="K223" i="2"/>
  <c r="K78" i="2"/>
  <c r="K371" i="2"/>
  <c r="K346" i="2"/>
  <c r="F346" i="2" s="1"/>
  <c r="K35" i="2"/>
  <c r="U183" i="2"/>
  <c r="U41" i="2"/>
  <c r="U188" i="2"/>
  <c r="U149" i="2"/>
  <c r="U393" i="2"/>
  <c r="U334" i="2"/>
  <c r="U376" i="2"/>
  <c r="U245" i="2"/>
  <c r="U219" i="2"/>
  <c r="U117" i="2"/>
  <c r="U224" i="2"/>
  <c r="U54" i="2"/>
  <c r="U138" i="2"/>
  <c r="U114" i="2"/>
  <c r="U72" i="2"/>
  <c r="U277" i="2"/>
  <c r="U239" i="2"/>
  <c r="U161" i="2"/>
  <c r="U244" i="2"/>
  <c r="U134" i="2"/>
  <c r="U205" i="2"/>
  <c r="U209" i="2"/>
  <c r="U152" i="2"/>
  <c r="U3" i="2"/>
  <c r="K374" i="2"/>
  <c r="F374" i="2" s="1"/>
  <c r="F29" i="2"/>
  <c r="K265" i="2"/>
  <c r="K231" i="2"/>
  <c r="K157" i="2"/>
  <c r="K143" i="2"/>
  <c r="K174" i="2"/>
  <c r="U135" i="2"/>
  <c r="U140" i="2"/>
  <c r="U201" i="2"/>
  <c r="U275" i="2"/>
  <c r="U171" i="2"/>
  <c r="U176" i="2"/>
  <c r="U345" i="2"/>
  <c r="U65" i="2"/>
  <c r="U191" i="2"/>
  <c r="U196" i="2"/>
  <c r="U26" i="2"/>
  <c r="U8" i="2"/>
  <c r="K158" i="2"/>
  <c r="K52" i="2"/>
  <c r="K147" i="2"/>
  <c r="F147" i="2" s="1"/>
  <c r="K127" i="2"/>
  <c r="K337" i="2"/>
  <c r="K26" i="2"/>
  <c r="K271" i="2"/>
  <c r="K18" i="2"/>
  <c r="K295" i="2"/>
  <c r="K68" i="2"/>
  <c r="K211" i="2"/>
  <c r="K25" i="2"/>
  <c r="K263" i="2"/>
  <c r="K70" i="2"/>
  <c r="K343" i="2"/>
  <c r="K310" i="2"/>
  <c r="K19" i="2"/>
  <c r="K210" i="2"/>
  <c r="K180" i="2"/>
  <c r="K334" i="2"/>
  <c r="K114" i="2"/>
  <c r="K95" i="2"/>
  <c r="K251" i="2"/>
  <c r="K309" i="2"/>
  <c r="U327" i="2"/>
  <c r="U34" i="2"/>
  <c r="U153" i="2"/>
  <c r="U193" i="2"/>
  <c r="U4" i="2"/>
  <c r="U273" i="2"/>
  <c r="K349" i="2"/>
  <c r="K205" i="2"/>
  <c r="K393" i="2"/>
  <c r="U348" i="2"/>
  <c r="U89" i="2"/>
  <c r="U246" i="2"/>
  <c r="U162" i="2"/>
  <c r="U49" i="2"/>
  <c r="U157" i="2"/>
  <c r="U350" i="2"/>
  <c r="U42" i="2"/>
  <c r="U93" i="2"/>
  <c r="U6" i="2"/>
  <c r="U66" i="2"/>
  <c r="U309" i="2"/>
  <c r="K299" i="2"/>
  <c r="K380" i="2"/>
  <c r="K8" i="2"/>
  <c r="K2" i="2"/>
  <c r="K154" i="2"/>
  <c r="U268" i="2"/>
  <c r="U184" i="2"/>
  <c r="U304" i="2"/>
  <c r="U312" i="2"/>
  <c r="U328" i="2"/>
  <c r="U25" i="2"/>
  <c r="K39" i="2"/>
  <c r="F39" i="2" s="1"/>
  <c r="K177" i="2"/>
  <c r="F177" i="2" s="1"/>
  <c r="K122" i="2"/>
  <c r="K268" i="2"/>
  <c r="F268" i="2" s="1"/>
  <c r="K347" i="2"/>
  <c r="K146" i="2"/>
  <c r="K237" i="2"/>
  <c r="K215" i="2"/>
  <c r="K109" i="2"/>
  <c r="K324" i="2"/>
  <c r="K378" i="2"/>
  <c r="F295" i="2"/>
  <c r="F211" i="2"/>
  <c r="U204" i="2"/>
  <c r="U240" i="2"/>
  <c r="U260" i="2"/>
  <c r="K38" i="2"/>
  <c r="U23" i="2"/>
  <c r="U242" i="2"/>
  <c r="U59" i="2"/>
  <c r="U314" i="2"/>
  <c r="U79" i="2"/>
  <c r="U354" i="2"/>
  <c r="U146" i="2"/>
  <c r="K190" i="2"/>
  <c r="F336" i="2"/>
  <c r="K153" i="2"/>
  <c r="K4" i="2"/>
  <c r="K335" i="2"/>
  <c r="K197" i="2"/>
  <c r="K101" i="2"/>
  <c r="K300" i="2"/>
  <c r="K213" i="2"/>
  <c r="F349" i="2"/>
  <c r="K361" i="2"/>
  <c r="K16" i="2"/>
  <c r="K260" i="2"/>
  <c r="K7" i="2"/>
  <c r="K329" i="2"/>
  <c r="K137" i="2"/>
  <c r="K306" i="2"/>
  <c r="K254" i="2"/>
  <c r="K112" i="2"/>
  <c r="K200" i="2"/>
  <c r="K164" i="2"/>
  <c r="F114" i="2"/>
  <c r="F335" i="2"/>
  <c r="F231" i="2"/>
  <c r="F52" i="2"/>
  <c r="U73" i="2"/>
  <c r="U381" i="2"/>
  <c r="U363" i="2"/>
  <c r="U126" i="2"/>
  <c r="U383" i="2"/>
  <c r="U198" i="2"/>
  <c r="K225" i="2"/>
  <c r="K339" i="2"/>
  <c r="K376" i="2"/>
  <c r="U92" i="2"/>
  <c r="U128" i="2"/>
  <c r="U148" i="2"/>
  <c r="K247" i="2"/>
  <c r="K196" i="2"/>
  <c r="K27" i="2"/>
  <c r="K155" i="2"/>
  <c r="K73" i="2"/>
  <c r="K307" i="2"/>
  <c r="K330" i="2"/>
  <c r="F385" i="2"/>
  <c r="K244" i="2"/>
  <c r="K47" i="2"/>
  <c r="F371" i="2"/>
  <c r="F47" i="2"/>
  <c r="F19" i="2"/>
  <c r="U372" i="2"/>
  <c r="U77" i="2"/>
  <c r="K90" i="2"/>
  <c r="K133" i="2"/>
  <c r="K286" i="2"/>
  <c r="F146" i="2"/>
  <c r="K135" i="2"/>
  <c r="K255" i="2"/>
  <c r="F198" i="2"/>
  <c r="U98" i="2"/>
  <c r="U337" i="2"/>
  <c r="K92" i="2"/>
  <c r="K87" i="2"/>
  <c r="K161" i="2"/>
  <c r="F241" i="2"/>
  <c r="U220" i="2"/>
  <c r="U256" i="2"/>
  <c r="U276" i="2"/>
  <c r="K24" i="2"/>
  <c r="K142" i="2"/>
  <c r="K189" i="2"/>
  <c r="F236" i="2"/>
  <c r="K168" i="2"/>
  <c r="K264" i="2"/>
  <c r="K356" i="2"/>
  <c r="K203" i="2"/>
  <c r="K65" i="2"/>
  <c r="K319" i="2"/>
  <c r="K55" i="2"/>
  <c r="F309" i="2"/>
  <c r="F55" i="2"/>
  <c r="F73" i="2"/>
  <c r="F232" i="2"/>
  <c r="U61" i="2"/>
  <c r="U362" i="2"/>
  <c r="U129" i="2"/>
  <c r="U249" i="2"/>
  <c r="U165" i="2"/>
  <c r="U213" i="2"/>
  <c r="K163" i="2"/>
  <c r="K3" i="2"/>
  <c r="K185" i="2"/>
  <c r="K100" i="2"/>
  <c r="F100" i="2" s="1"/>
  <c r="K140" i="2"/>
  <c r="K285" i="2"/>
  <c r="F285" i="2" s="1"/>
  <c r="K370" i="2"/>
  <c r="K192" i="2"/>
  <c r="K89" i="2"/>
  <c r="F89" i="2" s="1"/>
  <c r="K172" i="2"/>
  <c r="K204" i="2"/>
  <c r="F30" i="2"/>
  <c r="U181" i="2"/>
  <c r="U118" i="2"/>
  <c r="U194" i="2"/>
  <c r="K258" i="2"/>
  <c r="U151" i="2"/>
  <c r="U265" i="2"/>
  <c r="U187" i="2"/>
  <c r="U10" i="2"/>
  <c r="U207" i="2"/>
  <c r="U90" i="2"/>
  <c r="K369" i="2"/>
  <c r="U253" i="2"/>
  <c r="U299" i="2"/>
  <c r="U325" i="2"/>
  <c r="U319" i="2"/>
  <c r="U365" i="2"/>
  <c r="K44" i="2"/>
  <c r="K323" i="2"/>
  <c r="K45" i="2"/>
  <c r="K74" i="2"/>
  <c r="K152" i="2"/>
  <c r="K234" i="2"/>
  <c r="K115" i="2"/>
  <c r="K199" i="2"/>
  <c r="K342" i="2"/>
  <c r="K368" i="2"/>
  <c r="K88" i="2"/>
  <c r="F88" i="2" s="1"/>
  <c r="K243" i="2"/>
  <c r="F32" i="2"/>
  <c r="F378" i="2"/>
  <c r="U101" i="2"/>
  <c r="U120" i="2"/>
  <c r="U200" i="2"/>
  <c r="K221" i="2"/>
  <c r="U28" i="2"/>
  <c r="U369" i="2"/>
  <c r="U64" i="2"/>
  <c r="U115" i="2"/>
  <c r="U84" i="2"/>
  <c r="U195" i="2"/>
  <c r="U214" i="2"/>
  <c r="F214" i="2" s="1"/>
  <c r="U366" i="2"/>
  <c r="K125" i="2"/>
  <c r="K195" i="2"/>
  <c r="K242" i="2"/>
  <c r="U373" i="2"/>
  <c r="U323" i="2"/>
  <c r="U56" i="2"/>
  <c r="K275" i="2"/>
  <c r="K184" i="2"/>
  <c r="K366" i="2"/>
  <c r="K85" i="2"/>
  <c r="K387" i="2"/>
  <c r="K318" i="2"/>
  <c r="K66" i="2"/>
  <c r="K256" i="2"/>
  <c r="K304" i="2"/>
  <c r="F54" i="2"/>
  <c r="K266" i="2"/>
  <c r="K282" i="2"/>
  <c r="K227" i="2"/>
  <c r="F254" i="2"/>
  <c r="K230" i="2"/>
  <c r="F25" i="2"/>
  <c r="F327" i="2"/>
  <c r="F184" i="2"/>
  <c r="F365" i="2"/>
  <c r="U344" i="2"/>
  <c r="U107" i="2"/>
  <c r="U259" i="2"/>
  <c r="U45" i="2"/>
  <c r="U238" i="2"/>
  <c r="K37" i="2"/>
  <c r="U123" i="2"/>
  <c r="U233" i="2"/>
  <c r="K248" i="2"/>
  <c r="F8" i="2"/>
  <c r="K257" i="2"/>
  <c r="F45" i="2"/>
  <c r="K77" i="2"/>
  <c r="K57" i="2"/>
  <c r="K252" i="2"/>
  <c r="F95" i="2"/>
  <c r="F154" i="2"/>
  <c r="F258" i="2"/>
  <c r="U379" i="2"/>
  <c r="K240" i="2"/>
  <c r="K51" i="2"/>
  <c r="K277" i="2"/>
  <c r="K354" i="2"/>
  <c r="U38" i="2"/>
  <c r="K352" i="2"/>
  <c r="K186" i="2"/>
  <c r="F186" i="2" s="1"/>
  <c r="K145" i="2"/>
  <c r="K305" i="2"/>
  <c r="U122" i="2"/>
  <c r="U168" i="2"/>
  <c r="K82" i="2"/>
  <c r="K298" i="2"/>
  <c r="K218" i="2"/>
  <c r="K207" i="2"/>
  <c r="K239" i="2"/>
  <c r="K187" i="2"/>
  <c r="K11" i="2"/>
  <c r="K49" i="2"/>
  <c r="F262" i="2"/>
  <c r="F213" i="2"/>
  <c r="U343" i="2"/>
  <c r="U332" i="2"/>
  <c r="K149" i="2"/>
  <c r="K178" i="2"/>
  <c r="K108" i="2"/>
  <c r="K10" i="2"/>
  <c r="F297" i="2"/>
  <c r="F319" i="2"/>
  <c r="F306" i="2"/>
  <c r="F260" i="2"/>
  <c r="U182" i="2"/>
  <c r="K148" i="2"/>
  <c r="K107" i="2"/>
  <c r="F261" i="2"/>
  <c r="K193" i="2"/>
  <c r="K313" i="2"/>
  <c r="K43" i="2"/>
  <c r="F334" i="2"/>
  <c r="F180" i="2"/>
  <c r="F16" i="2"/>
  <c r="F121" i="2"/>
  <c r="F140" i="2"/>
  <c r="F77" i="2"/>
  <c r="F368" i="2"/>
  <c r="F367" i="2"/>
  <c r="K102" i="2"/>
  <c r="F102" i="2" s="1"/>
  <c r="U158" i="2"/>
  <c r="K296" i="2"/>
  <c r="K358" i="2"/>
  <c r="K110" i="2"/>
  <c r="K317" i="2"/>
  <c r="K194" i="2"/>
  <c r="K56" i="2"/>
  <c r="K303" i="2"/>
  <c r="F303" i="2" s="1"/>
  <c r="K294" i="2"/>
  <c r="K392" i="2"/>
  <c r="K311" i="2"/>
  <c r="K23" i="2"/>
  <c r="K328" i="2"/>
  <c r="F328" i="2" s="1"/>
  <c r="K391" i="2"/>
  <c r="F200" i="2"/>
  <c r="F210" i="2"/>
  <c r="F221" i="2"/>
  <c r="F347" i="2"/>
  <c r="U112" i="2"/>
  <c r="U86" i="2"/>
  <c r="U18" i="2"/>
  <c r="K373" i="2"/>
  <c r="U87" i="2"/>
  <c r="U382" i="2"/>
  <c r="U340" i="2"/>
  <c r="F340" i="2" s="1"/>
  <c r="K312" i="2"/>
  <c r="F312" i="2" s="1"/>
  <c r="K289" i="2"/>
  <c r="F289" i="2" s="1"/>
  <c r="K384" i="2"/>
  <c r="K325" i="2"/>
  <c r="K357" i="2"/>
  <c r="K281" i="2"/>
  <c r="F78" i="2"/>
  <c r="F223" i="2"/>
  <c r="F157" i="2"/>
  <c r="U190" i="2"/>
  <c r="F101" i="2"/>
  <c r="K344" i="2"/>
  <c r="K381" i="2"/>
  <c r="F381" i="2" s="1"/>
  <c r="F209" i="2"/>
  <c r="U185" i="2"/>
  <c r="K388" i="2"/>
  <c r="K228" i="2"/>
  <c r="F247" i="2"/>
  <c r="F243" i="2"/>
  <c r="U24" i="2"/>
  <c r="U271" i="2"/>
  <c r="K372" i="2"/>
  <c r="K165" i="2"/>
  <c r="F366" i="2"/>
  <c r="K202" i="2"/>
  <c r="K170" i="2"/>
  <c r="F164" i="2"/>
  <c r="F311" i="2"/>
  <c r="F163" i="2"/>
  <c r="F204" i="2"/>
  <c r="U173" i="2"/>
  <c r="U230" i="2"/>
  <c r="K201" i="2"/>
  <c r="K40" i="2"/>
  <c r="F40" i="2" s="1"/>
  <c r="K14" i="2"/>
  <c r="U15" i="2"/>
  <c r="K272" i="2"/>
  <c r="K130" i="2"/>
  <c r="K220" i="2"/>
  <c r="F82" i="2"/>
  <c r="K126" i="2"/>
  <c r="F227" i="2"/>
  <c r="F357" i="2"/>
  <c r="F362" i="2"/>
  <c r="F317" i="2"/>
  <c r="F49" i="2"/>
  <c r="F202" i="2"/>
  <c r="F87" i="2"/>
  <c r="K5" i="2"/>
  <c r="K331" i="2"/>
  <c r="U269" i="2"/>
  <c r="K84" i="2"/>
  <c r="K360" i="2"/>
  <c r="K105" i="2"/>
  <c r="F56" i="2"/>
  <c r="K278" i="2"/>
  <c r="F296" i="2"/>
  <c r="K81" i="2"/>
  <c r="U109" i="2"/>
  <c r="K322" i="2"/>
  <c r="K120" i="2"/>
  <c r="F120" i="2" s="1"/>
  <c r="K61" i="2"/>
  <c r="F298" i="2"/>
  <c r="F187" i="2"/>
  <c r="F308" i="2"/>
  <c r="F331" i="2"/>
  <c r="F137" i="2"/>
  <c r="U57" i="2"/>
  <c r="K287" i="2"/>
  <c r="K60" i="2"/>
  <c r="K79" i="2"/>
  <c r="K76" i="2"/>
  <c r="K338" i="2"/>
  <c r="K156" i="2"/>
  <c r="F115" i="2"/>
  <c r="F74" i="2"/>
  <c r="U326" i="2"/>
  <c r="U132" i="2"/>
  <c r="K129" i="2"/>
  <c r="F129" i="2" s="1"/>
  <c r="U143" i="2"/>
  <c r="K390" i="2"/>
  <c r="K144" i="2"/>
  <c r="K348" i="2"/>
  <c r="F348" i="2" s="1"/>
  <c r="K98" i="2"/>
  <c r="F225" i="2"/>
  <c r="K314" i="2"/>
  <c r="F314" i="2" s="1"/>
  <c r="F384" i="2"/>
  <c r="F125" i="2"/>
  <c r="K106" i="2"/>
  <c r="F106" i="2" s="1"/>
  <c r="F324" i="2"/>
  <c r="U215" i="2"/>
  <c r="K41" i="2"/>
  <c r="F41" i="2" s="1"/>
  <c r="K139" i="2"/>
  <c r="K22" i="2"/>
  <c r="K226" i="2"/>
  <c r="F361" i="2"/>
  <c r="U392" i="2"/>
  <c r="F392" i="2" s="1"/>
  <c r="K173" i="2"/>
  <c r="K208" i="2"/>
  <c r="F208" i="2" s="1"/>
  <c r="F99" i="2"/>
  <c r="U192" i="2"/>
  <c r="F192" i="2" s="1"/>
  <c r="F116" i="2"/>
  <c r="F162" i="2"/>
  <c r="K233" i="2"/>
  <c r="F301" i="2"/>
  <c r="U338" i="2"/>
  <c r="F338" i="2" s="1"/>
  <c r="K224" i="2"/>
  <c r="F224" i="2" s="1"/>
  <c r="K103" i="2"/>
  <c r="K53" i="2"/>
  <c r="F263" i="2"/>
  <c r="K67" i="2"/>
  <c r="F329" i="2"/>
  <c r="K6" i="2"/>
  <c r="F6" i="2" s="1"/>
  <c r="F390" i="2"/>
  <c r="F153" i="2"/>
  <c r="K341" i="2"/>
  <c r="F194" i="2"/>
  <c r="K188" i="2"/>
  <c r="F188" i="2" s="1"/>
  <c r="F304" i="2"/>
  <c r="F23" i="2"/>
  <c r="K379" i="2"/>
  <c r="F70" i="2"/>
  <c r="F81" i="2"/>
  <c r="F172" i="2"/>
  <c r="F281" i="2"/>
  <c r="F113" i="2"/>
  <c r="F310" i="2"/>
  <c r="K292" i="2"/>
  <c r="K253" i="2"/>
  <c r="F274" i="2"/>
  <c r="U37" i="2"/>
  <c r="K72" i="2"/>
  <c r="F72" i="2" s="1"/>
  <c r="F136" i="2"/>
  <c r="U226" i="2"/>
  <c r="K141" i="2"/>
  <c r="F67" i="2"/>
  <c r="F69" i="2"/>
  <c r="F36" i="2"/>
  <c r="F351" i="2"/>
  <c r="K386" i="2"/>
  <c r="F386" i="2" s="1"/>
  <c r="U341" i="2"/>
  <c r="U212" i="2"/>
  <c r="F212" i="2" s="1"/>
  <c r="K179" i="2"/>
  <c r="K206" i="2"/>
  <c r="F35" i="2"/>
  <c r="K315" i="2"/>
  <c r="K63" i="2"/>
  <c r="F63" i="2" s="1"/>
  <c r="F50" i="2"/>
  <c r="U85" i="2"/>
  <c r="K21" i="2"/>
  <c r="U131" i="2"/>
  <c r="K269" i="2"/>
  <c r="K279" i="2"/>
  <c r="F60" i="2"/>
  <c r="U46" i="2"/>
  <c r="F387" i="2"/>
  <c r="U20" i="2"/>
  <c r="F20" i="2" s="1"/>
  <c r="K273" i="2"/>
  <c r="U248" i="2"/>
  <c r="K118" i="2"/>
  <c r="K59" i="2"/>
  <c r="F18" i="2"/>
  <c r="U234" i="2"/>
  <c r="U286" i="2"/>
  <c r="K293" i="2"/>
  <c r="F293" i="2" s="1"/>
  <c r="K345" i="2"/>
  <c r="F345" i="2" s="1"/>
  <c r="K375" i="2"/>
  <c r="F375" i="2" s="1"/>
  <c r="F183" i="2"/>
  <c r="K33" i="2"/>
  <c r="F33" i="2" s="1"/>
  <c r="U169" i="2"/>
  <c r="F169" i="2" s="1"/>
  <c r="K332" i="2"/>
  <c r="K216" i="2"/>
  <c r="F181" i="2"/>
  <c r="K31" i="2"/>
  <c r="F31" i="2" s="1"/>
  <c r="K160" i="2"/>
  <c r="K17" i="2"/>
  <c r="K377" i="2"/>
  <c r="F377" i="2" s="1"/>
  <c r="K320" i="2"/>
  <c r="K353" i="2"/>
  <c r="K111" i="2"/>
  <c r="F111" i="2" s="1"/>
  <c r="K166" i="2"/>
  <c r="F166" i="2" s="1"/>
  <c r="K284" i="2"/>
  <c r="F284" i="2" s="1"/>
  <c r="K131" i="2"/>
  <c r="F131" i="2" s="1"/>
  <c r="K217" i="2"/>
  <c r="F217" i="2" s="1"/>
  <c r="K249" i="2"/>
  <c r="F249" i="2" s="1"/>
  <c r="K64" i="2"/>
  <c r="F64" i="2" s="1"/>
  <c r="F7" i="2"/>
  <c r="F216" i="2"/>
  <c r="F199" i="2"/>
  <c r="F290" i="2"/>
  <c r="F34" i="2"/>
  <c r="U71" i="2"/>
  <c r="F71" i="2" s="1"/>
  <c r="U83" i="2"/>
  <c r="F83" i="2" s="1"/>
  <c r="U17" i="2"/>
  <c r="U127" i="2"/>
  <c r="U355" i="2"/>
  <c r="K333" i="2"/>
  <c r="K288" i="2"/>
  <c r="U370" i="2"/>
  <c r="U307" i="2"/>
  <c r="U353" i="2"/>
  <c r="K9" i="2"/>
  <c r="F9" i="2" s="1"/>
  <c r="K245" i="2"/>
  <c r="K80" i="2"/>
  <c r="F174" i="2"/>
  <c r="F307" i="2"/>
  <c r="K359" i="2"/>
  <c r="F359" i="2" s="1"/>
  <c r="K134" i="2"/>
  <c r="F134" i="2" s="1"/>
  <c r="K364" i="2"/>
  <c r="F300" i="2"/>
  <c r="F342" i="2"/>
  <c r="F320" i="2"/>
  <c r="F123" i="2"/>
  <c r="U358" i="2"/>
  <c r="F358" i="2" s="1"/>
  <c r="K91" i="2"/>
  <c r="F389" i="2"/>
  <c r="K219" i="2"/>
  <c r="K42" i="2"/>
  <c r="F66" i="2"/>
  <c r="F325" i="2"/>
  <c r="U257" i="2"/>
  <c r="F257" i="2" s="1"/>
  <c r="K291" i="2"/>
  <c r="K12" i="2"/>
  <c r="K267" i="2"/>
  <c r="F26" i="2"/>
  <c r="U251" i="2"/>
  <c r="F265" i="2"/>
  <c r="K117" i="2"/>
  <c r="F28" i="2"/>
  <c r="F266" i="2"/>
  <c r="K326" i="2"/>
  <c r="K96" i="2"/>
  <c r="F92" i="2"/>
  <c r="F380" i="2"/>
  <c r="F253" i="2"/>
  <c r="F103" i="2"/>
  <c r="F269" i="2"/>
  <c r="F222" i="2"/>
  <c r="F228" i="2"/>
  <c r="F5" i="2"/>
  <c r="K58" i="2"/>
  <c r="F58" i="2" s="1"/>
  <c r="K46" i="2"/>
  <c r="U156" i="2"/>
  <c r="F156" i="2" s="1"/>
  <c r="K175" i="2"/>
  <c r="K191" i="2"/>
  <c r="F191" i="2" s="1"/>
  <c r="K283" i="2"/>
  <c r="K276" i="2"/>
  <c r="F44" i="2"/>
  <c r="F205" i="2"/>
  <c r="U76" i="2"/>
  <c r="U330" i="2"/>
  <c r="F330" i="2" s="1"/>
  <c r="K176" i="2"/>
  <c r="K270" i="2"/>
  <c r="K119" i="2"/>
  <c r="F119" i="2" s="1"/>
  <c r="F270" i="2"/>
  <c r="F152" i="2"/>
  <c r="K48" i="2"/>
  <c r="F48" i="2" s="1"/>
  <c r="F280" i="2"/>
  <c r="K75" i="2"/>
  <c r="U229" i="2"/>
  <c r="K321" i="2"/>
  <c r="K94" i="2"/>
  <c r="F175" i="2"/>
  <c r="F255" i="2"/>
  <c r="K132" i="2"/>
  <c r="F373" i="2"/>
  <c r="F288" i="2"/>
  <c r="K159" i="2"/>
  <c r="F160" i="2"/>
  <c r="U2" i="2"/>
  <c r="F218" i="2"/>
  <c r="F159" i="2"/>
  <c r="F294" i="2"/>
  <c r="K13" i="2"/>
  <c r="F13" i="2" s="1"/>
  <c r="F68" i="2"/>
  <c r="U94" i="2"/>
  <c r="K355" i="2"/>
  <c r="F15" i="2"/>
  <c r="F292" i="2"/>
  <c r="F193" i="2"/>
  <c r="F364" i="2"/>
  <c r="K62" i="2"/>
  <c r="F229" i="2"/>
  <c r="U318" i="2"/>
  <c r="F383" i="2"/>
  <c r="F151" i="2"/>
  <c r="F282" i="2"/>
  <c r="F240" i="2"/>
  <c r="F197" i="2"/>
  <c r="K150" i="2"/>
  <c r="F302" i="2"/>
  <c r="K138" i="2"/>
  <c r="K86" i="2"/>
  <c r="F86" i="2" s="1"/>
  <c r="F272" i="2"/>
  <c r="F3" i="2"/>
  <c r="F17" i="2"/>
  <c r="F107" i="2"/>
  <c r="F138" i="2"/>
  <c r="F355" i="2"/>
  <c r="F321" i="2"/>
  <c r="F283" i="2"/>
  <c r="F251" i="2"/>
  <c r="F42" i="2"/>
  <c r="F245" i="2"/>
  <c r="F127" i="2"/>
  <c r="F248" i="2"/>
  <c r="F21" i="2"/>
  <c r="F179" i="2"/>
  <c r="F379" i="2"/>
  <c r="F139" i="2"/>
  <c r="F79" i="2"/>
  <c r="F109" i="2"/>
  <c r="F84" i="2"/>
  <c r="F14" i="2"/>
  <c r="F170" i="2"/>
  <c r="F388" i="2"/>
  <c r="F382" i="2"/>
  <c r="F158" i="2"/>
  <c r="F182" i="2"/>
  <c r="F149" i="2"/>
  <c r="F239" i="2"/>
  <c r="F145" i="2"/>
  <c r="F277" i="2"/>
  <c r="F233" i="2"/>
  <c r="F318" i="2"/>
  <c r="F2" i="2"/>
  <c r="F176" i="2"/>
  <c r="F326" i="2"/>
  <c r="F12" i="2"/>
  <c r="F91" i="2"/>
  <c r="F370" i="2"/>
  <c r="F59" i="2"/>
  <c r="F46" i="2"/>
  <c r="F315" i="2"/>
  <c r="F226" i="2"/>
  <c r="F53" i="2"/>
  <c r="F144" i="2"/>
  <c r="F61" i="2"/>
  <c r="F105" i="2"/>
  <c r="F220" i="2"/>
  <c r="F230" i="2"/>
  <c r="F372" i="2"/>
  <c r="F344" i="2"/>
  <c r="F391" i="2"/>
  <c r="F313" i="2"/>
  <c r="F108" i="2"/>
  <c r="F343" i="2"/>
  <c r="F122" i="2"/>
  <c r="F38" i="2"/>
  <c r="F252" i="2"/>
  <c r="F259" i="2"/>
  <c r="F369" i="2"/>
  <c r="F264" i="2"/>
  <c r="F24" i="2"/>
  <c r="F337" i="2"/>
  <c r="F133" i="2"/>
  <c r="F27" i="2"/>
  <c r="F339" i="2"/>
  <c r="F299" i="2"/>
  <c r="F393" i="2"/>
  <c r="F167" i="2"/>
  <c r="F250" i="2"/>
  <c r="F132" i="2"/>
  <c r="F291" i="2"/>
  <c r="F333" i="2"/>
  <c r="F279" i="2"/>
  <c r="F37" i="2"/>
  <c r="F143" i="2"/>
  <c r="F360" i="2"/>
  <c r="F173" i="2"/>
  <c r="F190" i="2"/>
  <c r="F148" i="2"/>
  <c r="F11" i="2"/>
  <c r="F354" i="2"/>
  <c r="F275" i="2"/>
  <c r="F168" i="2"/>
  <c r="F98" i="2"/>
  <c r="F196" i="2"/>
  <c r="F93" i="2"/>
  <c r="F237" i="2"/>
  <c r="F203" i="2"/>
  <c r="F256" i="2"/>
  <c r="F244" i="2"/>
  <c r="F4" i="2"/>
  <c r="F316" i="2"/>
  <c r="F150" i="2"/>
  <c r="F75" i="2"/>
  <c r="F267" i="2"/>
  <c r="F353" i="2"/>
  <c r="F273" i="2"/>
  <c r="F141" i="2"/>
  <c r="F215" i="2"/>
  <c r="F278" i="2"/>
  <c r="F201" i="2"/>
  <c r="F165" i="2"/>
  <c r="F185" i="2"/>
  <c r="F112" i="2"/>
  <c r="F43" i="2"/>
  <c r="F332" i="2"/>
  <c r="F352" i="2"/>
  <c r="F238" i="2"/>
  <c r="F356" i="2"/>
  <c r="F161" i="2"/>
  <c r="F155" i="2"/>
  <c r="F242" i="2"/>
  <c r="F124" i="2"/>
  <c r="F62" i="2"/>
  <c r="F76" i="2"/>
  <c r="F117" i="2"/>
  <c r="F80" i="2"/>
  <c r="F118" i="2"/>
  <c r="F206" i="2"/>
  <c r="F22" i="2"/>
  <c r="F322" i="2"/>
  <c r="F130" i="2"/>
  <c r="F271" i="2"/>
  <c r="F110" i="2"/>
  <c r="F178" i="2"/>
  <c r="F305" i="2"/>
  <c r="F57" i="2"/>
  <c r="F65" i="2"/>
  <c r="F276" i="2"/>
  <c r="F90" i="2"/>
  <c r="F363" i="2"/>
  <c r="F171" i="2"/>
  <c r="F323" i="2"/>
  <c r="F189" i="2"/>
  <c r="F135" i="2"/>
  <c r="F128" i="2"/>
  <c r="F350" i="2"/>
  <c r="F235" i="2"/>
  <c r="F94" i="2"/>
  <c r="F96" i="2"/>
  <c r="F219" i="2"/>
  <c r="F234" i="2"/>
  <c r="F85" i="2"/>
  <c r="F341" i="2"/>
  <c r="F287" i="2"/>
  <c r="F126" i="2"/>
  <c r="F10" i="2"/>
  <c r="F207" i="2"/>
  <c r="F51" i="2"/>
  <c r="F195" i="2"/>
  <c r="F142" i="2"/>
  <c r="F286" i="2"/>
  <c r="F376" i="2"/>
  <c r="F246" i="2"/>
  <c r="F9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RAlonso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El botón calculos, asigna la letra de tipo de persona (Física o jurídica) y calculos de porcentaje automáticos
</t>
        </r>
      </text>
    </comment>
    <comment ref="F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RAlonso:</t>
        </r>
        <r>
          <rPr>
            <sz val="9"/>
            <color indexed="81"/>
            <rFont val="Tahoma"/>
            <family val="2"/>
          </rPr>
          <t xml:space="preserve">
Dependerá si es Particular o empresa (Naturaleza), importe donado y si es Recurrente o no.</t>
        </r>
      </text>
    </comment>
    <comment ref="K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RAlonso:</t>
        </r>
        <r>
          <rPr>
            <sz val="9"/>
            <color indexed="81"/>
            <rFont val="Tahoma"/>
            <family val="2"/>
          </rPr>
          <t xml:space="preserve">
En principio, se mira la primera letra del CIF, si es número-&gt;Fisica, sino, Jurídica</t>
        </r>
      </text>
    </comment>
    <comment ref="U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RAlonso:</t>
        </r>
        <r>
          <rPr>
            <sz val="9"/>
            <color indexed="81"/>
            <rFont val="Tahoma"/>
            <family val="2"/>
          </rPr>
          <t xml:space="preserve">
Recurrente es que este año, a aportado igual o mas que el año pasado y el pasado mas o igual que el anterior (Valor 1). Es decir, mantiene o incrementa la aportación en los 2 últimos años. En caso contrario será un '2'.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J1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NUMERO REFERENCIA CATASTRAL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2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IDENTIFICACION INTER-NACIONAL DE VALORES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3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 xml:space="preserve">SIN REFERENCIA:
EN BLANCO
</t>
        </r>
      </text>
    </comment>
  </commentList>
</comments>
</file>

<file path=xl/sharedStrings.xml><?xml version="1.0" encoding="utf-8"?>
<sst xmlns="http://schemas.openxmlformats.org/spreadsheetml/2006/main" count="1845" uniqueCount="295">
  <si>
    <t>IMPORTANTE: INCLUYA LOS DECLARADOS EN LA SEGUNDA PESTAÑA.</t>
  </si>
  <si>
    <t>Versión 8.6 (27 ENERO 2021)</t>
  </si>
  <si>
    <t>Comentarios (leer posiciones inferiores)</t>
  </si>
  <si>
    <t>EJERCICIO</t>
  </si>
  <si>
    <t>NIF DECLARANTE</t>
  </si>
  <si>
    <t>G33000000</t>
  </si>
  <si>
    <t>DENOMICACION DECLARANTE</t>
  </si>
  <si>
    <t>NOMBRE DELA ONG</t>
  </si>
  <si>
    <t>TIPO SOPORTE</t>
  </si>
  <si>
    <t>T</t>
  </si>
  <si>
    <t>PersonaConQuienRelacionarseTelefono</t>
  </si>
  <si>
    <t>PersonaConQuienRelacionarseApellidosYNombre</t>
  </si>
  <si>
    <t>ALONSO ALONSO, NOMBRE</t>
  </si>
  <si>
    <t>NumeroDeJustificante (13 posiciones)</t>
  </si>
  <si>
    <t>1820000000000</t>
  </si>
  <si>
    <t>Se consignará el número de justificante correspondiente a la declaración. Campo de contenido numérico de 13 posiciones.</t>
  </si>
  <si>
    <t>DeclaracionComplementaria</t>
  </si>
  <si>
    <t>DeclaracionSustitutiva</t>
  </si>
  <si>
    <t>NumeroDeJustificanteDeLaDeclaracionAnterior</t>
  </si>
  <si>
    <t>NumeroTotalDeRegistros</t>
  </si>
  <si>
    <t>Complete este valor usted</t>
  </si>
  <si>
    <t>ImporteTotal</t>
  </si>
  <si>
    <t>NaturalezaDelDeclarante (1, 2 ó 3)</t>
  </si>
  <si>
    <t>(1-ENTIDAD BENEFICIARIA DE LOS INCEN...    '2-FUNDACION LEGALMENTE RECO     '3-TITULAR O ADM. DEL PATRIMONIO"</t>
  </si>
  <si>
    <t>NifDelTitularDelPatrimonioProtegido</t>
  </si>
  <si>
    <t>ApellidosYNombreDeltitularDelPatrimonio</t>
  </si>
  <si>
    <t>RUTA GENERACION FICHERO</t>
  </si>
  <si>
    <t>c:\pro</t>
  </si>
  <si>
    <t>No genere el archivo en la RAIZ de su equipo (puede fallar)</t>
  </si>
  <si>
    <t>WWW.NETSISTEMAS.COM/182</t>
  </si>
  <si>
    <t>Autor: Roberto Alonso Velasco  - robertoalonsovelasco@gmail.com 670.651365 (Gracias a los que habéis reportado problemas ayudando a otros)</t>
  </si>
  <si>
    <t>Ultima revisión (Versión 1):11 ENE 2016 - Correcciones:</t>
  </si>
  <si>
    <t xml:space="preserve"> - Fallo al tomar valor columna de importe.</t>
  </si>
  <si>
    <t xml:space="preserve"> - Si la ruta no es correcta, no se avisaba del error.</t>
  </si>
  <si>
    <t xml:space="preserve"> - Validación de importe declarado con acumaldo registro a registro</t>
  </si>
  <si>
    <t xml:space="preserve"> - Se modifica la pestaña de provincias para poder usar la funcion BUSCARV</t>
  </si>
  <si>
    <t xml:space="preserve"> -Se elimina la pestaña de comunidades, y se meten en la pestaña Provincias</t>
  </si>
  <si>
    <t xml:space="preserve"> - Se añade la columna de Provincia Nombre para poder escribir aquí el nombre y usar la función BUSCARV</t>
  </si>
  <si>
    <t xml:space="preserve"> - Se deja la funcion BUSCARV escrita en código provincia y comunidad, para que busque el código de la pestaña Provicias</t>
  </si>
  <si>
    <t xml:space="preserve"> - En las comunidades autonomas FALTAN ALGUNAS que no figuran en la documention PDF de hacienda</t>
  </si>
  <si>
    <t xml:space="preserve"> - Se formatean con CEROS algunas celdas que antes iban a blancos.</t>
  </si>
  <si>
    <t>Versión 2: 15 ENE 2016</t>
  </si>
  <si>
    <t xml:space="preserve"> - Se quitan los acentos en las provincias (hoja provincias) y se añade botón para quitar los acentos a las provincias indicadas en la pestaña SocioYDatos</t>
  </si>
  <si>
    <t xml:space="preserve"> - El campo EjercicioEnQueSeEfectuóDonaciónRevocación no iba formateado con 4 ceros, sino con 1.</t>
  </si>
  <si>
    <t xml:space="preserve"> -  Se incluye botón de calculo automatico</t>
  </si>
  <si>
    <t>Versión 3: 28 DIC 2016 (Gracias por la aportación de Vicente Alcalá)</t>
  </si>
  <si>
    <t xml:space="preserve"> - Se incluye formula GetRecurrente (Saber si una aportación se mantiene o aumenta en los últimos años)</t>
  </si>
  <si>
    <t xml:space="preserve"> - Se incluue formula GetDeduccion para saber el PORCENTAJE a indicar en el fichero</t>
  </si>
  <si>
    <t xml:space="preserve"> - Se incluye funcion GetNaturaleza para saber si el CIF es de una persona Fisica o Jurídica</t>
  </si>
  <si>
    <t xml:space="preserve"> - Se elimina la funcionalidad del botón  CALCULOS, ya que ahora se usan las funciones indicadas</t>
  </si>
  <si>
    <t xml:space="preserve"> - Se crea el directorio donde se almacene el fichero y se abre la carpeta al finalizar</t>
  </si>
  <si>
    <t xml:space="preserve"> - Se añade la columna RECURRENTE para alguna formula anterior.</t>
  </si>
  <si>
    <t xml:space="preserve"> - Los CIF que empiezan por J se considera de persona 'F'-Fisica - Publico video de como se modifió esta programación: https://youtu.be/dlNGYQPukSM</t>
  </si>
  <si>
    <t>2016 v4</t>
  </si>
  <si>
    <t>Versión 4: 14 ENE 2017  - CAMBIO MUY IMPORTANTE</t>
  </si>
  <si>
    <t xml:space="preserve"> - Tras varios correos advirtiendo de la inclusión del concepto RECURRENTE en el fichero, añado este campo que no estaba soportado. Aunque se necesitaba para calculos, no sabia de su inclusión</t>
  </si>
  <si>
    <t>2016 v5</t>
  </si>
  <si>
    <t>Versión 5: 15 ENE 2017  - Bugs notificados por varios usuarios. Gracias.</t>
  </si>
  <si>
    <t xml:space="preserve"> - Los CIF que empiezan por X se consideran persona física (no jurídica como hasta ahora)</t>
  </si>
  <si>
    <t xml:space="preserve"> - El porcentaje se calcula bien. Al modificar el campo Recurrente de 0 a 1, se usaba variable boolean, con el cambio a '1' y '2' esto producida un error.</t>
  </si>
  <si>
    <t>2017 V6</t>
  </si>
  <si>
    <t xml:space="preserve">Versión 6: 31 ENE 2018 </t>
  </si>
  <si>
    <t xml:space="preserve"> - Se añaden a la pestaña provincias, nuevas provincias en otros idiomas. Se buscaV hasta la file (row) 70</t>
  </si>
  <si>
    <t xml:space="preserve"> - Se validan los CIF para que no tengan espacios ni guiones.</t>
  </si>
  <si>
    <t xml:space="preserve"> - Se elimian caracteres incorrectos ª º y acentuadas, del Nombre Declarado</t>
  </si>
  <si>
    <t xml:space="preserve"> </t>
  </si>
  <si>
    <t>Versión 7.1:  23 ENERO 2019</t>
  </si>
  <si>
    <t xml:space="preserve"> - Ahora se guarda el nº de justificante en el fichero. Antes se guardaba el valor 1820000000000 como valor (se ignoraba el escrito en esta ventana)</t>
  </si>
  <si>
    <t>2018 V7</t>
  </si>
  <si>
    <t>2020 V8.0</t>
  </si>
  <si>
    <t>VERISION 8,0 7 ENERO 2021 - EJERVICIO 2020</t>
  </si>
  <si>
    <t>RORRECCIÓN EN CALCULO RECURRENTE. Se necesita un tercer año parar saberlo, y el año actual no influye en el calculo. PENDIENTE QUE ALGUIEN LO VALIDA CORRECTAMENTE</t>
  </si>
  <si>
    <t>2020 V8,1</t>
  </si>
  <si>
    <t>8 Enero - Correción de recurrencia: 1 si se mantiene o incrementa la aporación del año actual y los 2 anteriores, respecto al anterior. Aumento del porcentaje al 80% y 35 o 40 si es  recurrente</t>
  </si>
  <si>
    <t>80% primero 150 euros, y 35 o 40% del resto si es recurrente. La casilla de porcentaje lleva 80% siempre, si se aporta igual o menos de 150Euros. Solo influye la recurrencia, para el resto aportado.</t>
  </si>
  <si>
    <t>2020 V8.2</t>
  </si>
  <si>
    <t>8 Enero - Los NIF que empiezan por 'E' de comunidad de bienes, tamién son personas Fisicas (no jurídicas). Si algún año anterio, la aportación es cero, la aportación NO ES RECURRENTE.</t>
  </si>
  <si>
    <t>2020 V8.3</t>
  </si>
  <si>
    <t>15 Enero 2021 (Aprox.): No recurrente, mejor: se comprueba que el año tercero al anterior sea mayor que cero.</t>
  </si>
  <si>
    <t>2020 V8.4</t>
  </si>
  <si>
    <t>26 Enero 2021: Se valida que la ruta de generación del archivo no es una carpeta ya existente. Actualmente daba un error 75 que simplemente advierte de FICHERO NO GENERABLE. Ahora informa mejor.</t>
  </si>
  <si>
    <t>2020 V8.5</t>
  </si>
  <si>
    <t>26 enero 2021: Bug relacionado con la comprobación de ruta destino. Daba error 13</t>
  </si>
  <si>
    <t>2020 V8.6</t>
  </si>
  <si>
    <t>27 enero 2021: Los DNI que empiezan por Y se consideran personas FÍSICAS. Cambio en e año de la celda A (Ahí debe figurar el EJERCICIO, No el año que hago los cambios.</t>
  </si>
  <si>
    <t>NIF DECLARADO</t>
  </si>
  <si>
    <t>NIF REP. LEGAL</t>
  </si>
  <si>
    <t>APELLIDOS Y NOMBRE</t>
  </si>
  <si>
    <t>PROVINCIA</t>
  </si>
  <si>
    <t>CLAVE</t>
  </si>
  <si>
    <t>% DEDUCC.</t>
  </si>
  <si>
    <t>IMPORTE</t>
  </si>
  <si>
    <t>DON. ESP.</t>
  </si>
  <si>
    <t>COMUNIDAD</t>
  </si>
  <si>
    <t xml:space="preserve"> % DEDUCC. AUT.</t>
  </si>
  <si>
    <t>NATURALEZA</t>
  </si>
  <si>
    <t>REVOCACION</t>
  </si>
  <si>
    <t>EJ. REVOC.</t>
  </si>
  <si>
    <t>TIPO BIEN</t>
  </si>
  <si>
    <t>IDENTIF.BIEN</t>
  </si>
  <si>
    <t>Provincia</t>
  </si>
  <si>
    <t>APORTACION AÑO - 1</t>
  </si>
  <si>
    <t>APORTACION AÑO - 2</t>
  </si>
  <si>
    <t>APORTACION AÑO - 3</t>
  </si>
  <si>
    <t>RECURRENTE</t>
  </si>
  <si>
    <t>https://www.fundacionlealtad.org/noticias/incremento-de-las-deducciones-fiscales-por-donaciones-a-ong/</t>
  </si>
  <si>
    <t>13131313 J</t>
  </si>
  <si>
    <t>TRACAáéíóú´´AÉÍÓÚ´ÜüTRACA</t>
  </si>
  <si>
    <t>A</t>
  </si>
  <si>
    <t>ZARAGOZA</t>
  </si>
  <si>
    <t>13131313J</t>
  </si>
  <si>
    <t>ALONSO ALONSO, ALONSO</t>
  </si>
  <si>
    <t>MADRID</t>
  </si>
  <si>
    <t>13131313-J</t>
  </si>
  <si>
    <t>ALONSO ALONSO, ALONSO2</t>
  </si>
  <si>
    <t>Y</t>
  </si>
  <si>
    <t>GUIPUZCOA</t>
  </si>
  <si>
    <t>ASTURIAS</t>
  </si>
  <si>
    <t>ALICANTE</t>
  </si>
  <si>
    <t>NAVARRA</t>
  </si>
  <si>
    <t>VALENCIA</t>
  </si>
  <si>
    <t>CACERES</t>
  </si>
  <si>
    <t>GUADALAJARA</t>
  </si>
  <si>
    <t>PALENCIA</t>
  </si>
  <si>
    <t>MALAGA</t>
  </si>
  <si>
    <t>CUENCA</t>
  </si>
  <si>
    <t>TERUEL</t>
  </si>
  <si>
    <t>BURGOS</t>
  </si>
  <si>
    <t>BARCELONA</t>
  </si>
  <si>
    <t>GRANADA</t>
  </si>
  <si>
    <t>VALLADOLID</t>
  </si>
  <si>
    <t>ALAVA</t>
  </si>
  <si>
    <t>LEON</t>
  </si>
  <si>
    <t>CADIZ</t>
  </si>
  <si>
    <t>SALAMANCA</t>
  </si>
  <si>
    <t>TARRAGONA</t>
  </si>
  <si>
    <t>HUESCA</t>
  </si>
  <si>
    <t>CORDOBA</t>
  </si>
  <si>
    <t>CANTABRIA</t>
  </si>
  <si>
    <t>SEVILLA</t>
  </si>
  <si>
    <t>CASTELLON</t>
  </si>
  <si>
    <t>SEGOVIA</t>
  </si>
  <si>
    <t>VIZCAYA</t>
  </si>
  <si>
    <t>LAS PALMAS</t>
  </si>
  <si>
    <t>SORIA</t>
  </si>
  <si>
    <t>GIRONA</t>
  </si>
  <si>
    <t>CIUDAD REAL</t>
  </si>
  <si>
    <t>LA CORUÑA</t>
  </si>
  <si>
    <t>GERONA</t>
  </si>
  <si>
    <t>VIZKAIA</t>
  </si>
  <si>
    <t>HUELVA</t>
  </si>
  <si>
    <t>ALMERIA</t>
  </si>
  <si>
    <t>OURENSE</t>
  </si>
  <si>
    <t>LA RIOJA</t>
  </si>
  <si>
    <t>PONTEVEDRA</t>
  </si>
  <si>
    <t>BALEARES</t>
  </si>
  <si>
    <t>SANTA CRUZ DE TENERIFE</t>
  </si>
  <si>
    <t>LERIDA</t>
  </si>
  <si>
    <t>ZAMORA</t>
  </si>
  <si>
    <t>ILLES BALEARS</t>
  </si>
  <si>
    <t>AVILA</t>
  </si>
  <si>
    <t>BIZKAIA</t>
  </si>
  <si>
    <t>TOLEDO</t>
  </si>
  <si>
    <t>ALBACETE</t>
  </si>
  <si>
    <t>Las columns B,C, D son importanes. Se usan en funcion BUSCARV</t>
  </si>
  <si>
    <t>Código provincia</t>
  </si>
  <si>
    <t>Cod. Comunidad</t>
  </si>
  <si>
    <t>No definida</t>
  </si>
  <si>
    <t>00</t>
  </si>
  <si>
    <t>Tablas solo informativa</t>
  </si>
  <si>
    <t>01</t>
  </si>
  <si>
    <t>NATURALEZA DONANTE</t>
  </si>
  <si>
    <t>Albacete</t>
  </si>
  <si>
    <t>02</t>
  </si>
  <si>
    <t>F</t>
  </si>
  <si>
    <t>FISICA</t>
  </si>
  <si>
    <t>Alicante</t>
  </si>
  <si>
    <t>03</t>
  </si>
  <si>
    <t>J</t>
  </si>
  <si>
    <t>JURIDICA</t>
  </si>
  <si>
    <t>04</t>
  </si>
  <si>
    <t>E</t>
  </si>
  <si>
    <t>ENT. AT. RT.</t>
  </si>
  <si>
    <t>05</t>
  </si>
  <si>
    <t>Badajoz</t>
  </si>
  <si>
    <t>06</t>
  </si>
  <si>
    <t>Baleares</t>
  </si>
  <si>
    <t>07</t>
  </si>
  <si>
    <t>TIPO DE BIEN</t>
  </si>
  <si>
    <t>Se exige</t>
  </si>
  <si>
    <t>08</t>
  </si>
  <si>
    <t>I</t>
  </si>
  <si>
    <t>INMUEBLES</t>
  </si>
  <si>
    <t>NRC</t>
  </si>
  <si>
    <t>Burgos</t>
  </si>
  <si>
    <t>09</t>
  </si>
  <si>
    <t>V</t>
  </si>
  <si>
    <t>VALORES</t>
  </si>
  <si>
    <t>ISIN</t>
  </si>
  <si>
    <t>10</t>
  </si>
  <si>
    <t xml:space="preserve">O </t>
  </si>
  <si>
    <t>OTROS</t>
  </si>
  <si>
    <t>EN BLANCO</t>
  </si>
  <si>
    <t>Cadiz</t>
  </si>
  <si>
    <t>11</t>
  </si>
  <si>
    <t>12</t>
  </si>
  <si>
    <t>Ciudad Real</t>
  </si>
  <si>
    <t>13</t>
  </si>
  <si>
    <t>ID_COMUNIDAD</t>
  </si>
  <si>
    <t>14</t>
  </si>
  <si>
    <t>ANDALUCIA</t>
  </si>
  <si>
    <t>A Coruña</t>
  </si>
  <si>
    <t>15</t>
  </si>
  <si>
    <t>ARAGON</t>
  </si>
  <si>
    <t>Cuenca</t>
  </si>
  <si>
    <t>16</t>
  </si>
  <si>
    <t>PRINCIPADO DE ASTURIAS</t>
  </si>
  <si>
    <t>Girona</t>
  </si>
  <si>
    <t>17</t>
  </si>
  <si>
    <t>Granada</t>
  </si>
  <si>
    <t>18</t>
  </si>
  <si>
    <t>CANARIAS</t>
  </si>
  <si>
    <t>Guadalajara</t>
  </si>
  <si>
    <t>19</t>
  </si>
  <si>
    <t>20</t>
  </si>
  <si>
    <t>CASTILLA-LA MANCHA</t>
  </si>
  <si>
    <t>Huelva</t>
  </si>
  <si>
    <t>21</t>
  </si>
  <si>
    <t>CASTILLA Y LEON</t>
  </si>
  <si>
    <t>Huesca</t>
  </si>
  <si>
    <t>22</t>
  </si>
  <si>
    <t>CATALUÑA</t>
  </si>
  <si>
    <t>JAEN</t>
  </si>
  <si>
    <t>23</t>
  </si>
  <si>
    <t>EXTREMADURA</t>
  </si>
  <si>
    <t>24</t>
  </si>
  <si>
    <t>GALICIA</t>
  </si>
  <si>
    <t>Lleida</t>
  </si>
  <si>
    <t>25</t>
  </si>
  <si>
    <t>La Rioja</t>
  </si>
  <si>
    <t>26</t>
  </si>
  <si>
    <t>REGION DE MURCIA</t>
  </si>
  <si>
    <t>Lugo</t>
  </si>
  <si>
    <t>27</t>
  </si>
  <si>
    <t>Madrid</t>
  </si>
  <si>
    <t>28</t>
  </si>
  <si>
    <t>COMUNIDAD VALENCIANA</t>
  </si>
  <si>
    <t>29</t>
  </si>
  <si>
    <t>Murcia</t>
  </si>
  <si>
    <t>30</t>
  </si>
  <si>
    <t>Navarra</t>
  </si>
  <si>
    <t>31</t>
  </si>
  <si>
    <t>Ourense</t>
  </si>
  <si>
    <t>32</t>
  </si>
  <si>
    <t>Asturias</t>
  </si>
  <si>
    <t>33</t>
  </si>
  <si>
    <t>Palencia</t>
  </si>
  <si>
    <t>34</t>
  </si>
  <si>
    <t>Las Palmas</t>
  </si>
  <si>
    <t>35</t>
  </si>
  <si>
    <t>Pontevedra</t>
  </si>
  <si>
    <t>36</t>
  </si>
  <si>
    <t>Salamanca</t>
  </si>
  <si>
    <t>37</t>
  </si>
  <si>
    <t>Santa Cruz de Tenerife</t>
  </si>
  <si>
    <t>38</t>
  </si>
  <si>
    <t>Cantabria</t>
  </si>
  <si>
    <t>39</t>
  </si>
  <si>
    <t>Segovia</t>
  </si>
  <si>
    <t>40</t>
  </si>
  <si>
    <t>Sevilla</t>
  </si>
  <si>
    <t>41</t>
  </si>
  <si>
    <t>Soria</t>
  </si>
  <si>
    <t>42</t>
  </si>
  <si>
    <t>Tarragona</t>
  </si>
  <si>
    <t>43</t>
  </si>
  <si>
    <t>Teruel</t>
  </si>
  <si>
    <t>44</t>
  </si>
  <si>
    <t>Toledo</t>
  </si>
  <si>
    <t>45</t>
  </si>
  <si>
    <t>Valencia</t>
  </si>
  <si>
    <t>46</t>
  </si>
  <si>
    <t>Valladolid</t>
  </si>
  <si>
    <t>47</t>
  </si>
  <si>
    <t>Vizcaya</t>
  </si>
  <si>
    <t>48</t>
  </si>
  <si>
    <t>Zamora</t>
  </si>
  <si>
    <t>49</t>
  </si>
  <si>
    <t>Zaragoza</t>
  </si>
  <si>
    <t>50</t>
  </si>
  <si>
    <t>Ceuta</t>
  </si>
  <si>
    <t>51</t>
  </si>
  <si>
    <t>Melilla</t>
  </si>
  <si>
    <t>52</t>
  </si>
  <si>
    <t>No Residentes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</si>
</sst>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25" x14ac:knownFonts="1">
    <font>
      <sz val="10"/>
      <name val="Arial"/>
    </font>
    <font>
      <sz val="8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b/>
      <u/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u/>
      <sz val="10"/>
      <color rgb="FFFF0000"/>
      <name val="Arial"/>
      <family val="2"/>
    </font>
    <font>
      <b/>
      <sz val="10"/>
      <color rgb="FFFF0000"/>
      <name val="Arial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</font>
    <font>
      <b/>
      <sz val="11"/>
      <color rgb="FFFF0000"/>
      <name val="Calibri"/>
      <family val="2"/>
      <scheme val="minor"/>
    </font>
    <font>
      <b/>
      <i/>
      <sz val="10"/>
      <name val="Arial"/>
      <family val="2"/>
    </font>
    <font>
      <b/>
      <i/>
      <sz val="11"/>
      <name val="Calibri"/>
      <family val="2"/>
      <scheme val="minor"/>
    </font>
    <font>
      <b/>
      <sz val="11"/>
      <name val="Calibri"/>
      <family val="2"/>
    </font>
    <font>
      <sz val="10"/>
      <color rgb="FFFF0000"/>
      <name val="Arial"/>
      <family val="2"/>
    </font>
    <font>
      <sz val="8"/>
      <color rgb="FF000000"/>
      <name val="Verdana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11"/>
        <bgColor indexed="21"/>
      </patternFill>
    </fill>
    <fill>
      <patternFill patternType="solid">
        <fgColor indexed="1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9"/>
        <bgColor indexed="64"/>
      </patternFill>
    </fill>
  </fills>
  <borders count="16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0" fontId="5" fillId="0" borderId="0"/>
  </cellStyleXfs>
  <cellXfs count="86">
    <xf numFmtId="0" fontId="0" fillId="0" borderId="0" xfId="0"/>
    <xf numFmtId="0" fontId="0" fillId="0" borderId="1" xfId="0" applyBorder="1"/>
    <xf numFmtId="0" fontId="2" fillId="2" borderId="1" xfId="0" applyFont="1" applyFill="1" applyBorder="1"/>
    <xf numFmtId="49" fontId="0" fillId="0" borderId="1" xfId="0" applyNumberFormat="1" applyBorder="1"/>
    <xf numFmtId="0" fontId="3" fillId="0" borderId="0" xfId="0" applyFont="1"/>
    <xf numFmtId="0" fontId="3" fillId="2" borderId="1" xfId="0" applyFont="1" applyFill="1" applyBorder="1"/>
    <xf numFmtId="0" fontId="0" fillId="0" borderId="2" xfId="0" applyBorder="1"/>
    <xf numFmtId="0" fontId="3" fillId="3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0" fillId="0" borderId="0" xfId="0" applyFont="1"/>
    <xf numFmtId="0" fontId="9" fillId="0" borderId="0" xfId="0" applyFont="1"/>
    <xf numFmtId="0" fontId="11" fillId="0" borderId="0" xfId="0" applyFont="1"/>
    <xf numFmtId="0" fontId="7" fillId="0" borderId="0" xfId="1"/>
    <xf numFmtId="0" fontId="9" fillId="0" borderId="3" xfId="0" applyFont="1" applyBorder="1"/>
    <xf numFmtId="0" fontId="0" fillId="0" borderId="4" xfId="0" applyBorder="1"/>
    <xf numFmtId="0" fontId="9" fillId="0" borderId="5" xfId="0" applyFont="1" applyBorder="1"/>
    <xf numFmtId="0" fontId="0" fillId="0" borderId="6" xfId="0" applyBorder="1"/>
    <xf numFmtId="0" fontId="9" fillId="0" borderId="7" xfId="0" applyFont="1" applyBorder="1"/>
    <xf numFmtId="0" fontId="8" fillId="0" borderId="0" xfId="0" applyFont="1"/>
    <xf numFmtId="0" fontId="3" fillId="0" borderId="5" xfId="0" applyFont="1" applyBorder="1"/>
    <xf numFmtId="0" fontId="5" fillId="0" borderId="0" xfId="0" applyFont="1"/>
    <xf numFmtId="0" fontId="12" fillId="0" borderId="5" xfId="0" applyFont="1" applyBorder="1"/>
    <xf numFmtId="15" fontId="0" fillId="0" borderId="0" xfId="0" applyNumberFormat="1"/>
    <xf numFmtId="15" fontId="8" fillId="0" borderId="0" xfId="0" applyNumberFormat="1" applyFont="1"/>
    <xf numFmtId="0" fontId="7" fillId="0" borderId="0" xfId="1" applyFill="1"/>
    <xf numFmtId="0" fontId="14" fillId="0" borderId="9" xfId="0" applyFont="1" applyBorder="1"/>
    <xf numFmtId="0" fontId="3" fillId="2" borderId="0" xfId="0" applyFont="1" applyFill="1"/>
    <xf numFmtId="0" fontId="0" fillId="0" borderId="0" xfId="0" applyAlignment="1">
      <alignment horizontal="center"/>
    </xf>
    <xf numFmtId="164" fontId="3" fillId="0" borderId="0" xfId="0" applyNumberFormat="1" applyFont="1"/>
    <xf numFmtId="164" fontId="0" fillId="0" borderId="0" xfId="0" applyNumberFormat="1"/>
    <xf numFmtId="0" fontId="6" fillId="4" borderId="0" xfId="0" applyFont="1" applyFill="1"/>
    <xf numFmtId="0" fontId="5" fillId="4" borderId="0" xfId="0" applyFont="1" applyFill="1"/>
    <xf numFmtId="0" fontId="3" fillId="4" borderId="0" xfId="0" applyFont="1" applyFill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5" borderId="6" xfId="0" applyFill="1" applyBorder="1"/>
    <xf numFmtId="0" fontId="13" fillId="5" borderId="6" xfId="0" applyFont="1" applyFill="1" applyBorder="1"/>
    <xf numFmtId="0" fontId="5" fillId="5" borderId="6" xfId="0" applyFont="1" applyFill="1" applyBorder="1"/>
    <xf numFmtId="0" fontId="3" fillId="5" borderId="0" xfId="0" applyFont="1" applyFill="1"/>
    <xf numFmtId="0" fontId="18" fillId="0" borderId="8" xfId="0" applyFont="1" applyBorder="1"/>
    <xf numFmtId="0" fontId="0" fillId="0" borderId="13" xfId="0" applyBorder="1"/>
    <xf numFmtId="0" fontId="0" fillId="0" borderId="14" xfId="0" applyBorder="1"/>
    <xf numFmtId="0" fontId="0" fillId="0" borderId="8" xfId="0" applyBorder="1"/>
    <xf numFmtId="0" fontId="23" fillId="7" borderId="2" xfId="0" applyFont="1" applyFill="1" applyBorder="1" applyAlignment="1">
      <alignment vertical="center" wrapText="1"/>
    </xf>
    <xf numFmtId="0" fontId="23" fillId="8" borderId="2" xfId="0" applyFont="1" applyFill="1" applyBorder="1" applyAlignment="1">
      <alignment vertical="center" wrapText="1"/>
    </xf>
    <xf numFmtId="0" fontId="23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/>
    <xf numFmtId="0" fontId="0" fillId="0" borderId="15" xfId="0" applyBorder="1" applyAlignment="1">
      <alignment vertical="center"/>
    </xf>
    <xf numFmtId="15" fontId="8" fillId="0" borderId="13" xfId="0" applyNumberFormat="1" applyFont="1" applyBorder="1"/>
    <xf numFmtId="0" fontId="5" fillId="0" borderId="13" xfId="0" applyFont="1" applyBorder="1"/>
    <xf numFmtId="0" fontId="8" fillId="0" borderId="13" xfId="0" applyFont="1" applyBorder="1"/>
    <xf numFmtId="0" fontId="8" fillId="0" borderId="4" xfId="0" applyFont="1" applyBorder="1"/>
    <xf numFmtId="0" fontId="15" fillId="0" borderId="0" xfId="1" applyFont="1" applyBorder="1"/>
    <xf numFmtId="0" fontId="15" fillId="0" borderId="14" xfId="1" applyFont="1" applyBorder="1"/>
    <xf numFmtId="0" fontId="15" fillId="0" borderId="0" xfId="1" applyFont="1" applyFill="1" applyBorder="1"/>
    <xf numFmtId="0" fontId="15" fillId="0" borderId="14" xfId="1" applyFont="1" applyFill="1" applyBorder="1"/>
    <xf numFmtId="0" fontId="17" fillId="0" borderId="5" xfId="0" applyFont="1" applyBorder="1"/>
    <xf numFmtId="0" fontId="21" fillId="6" borderId="3" xfId="0" applyFont="1" applyFill="1" applyBorder="1"/>
    <xf numFmtId="0" fontId="17" fillId="0" borderId="7" xfId="0" applyFont="1" applyBorder="1"/>
    <xf numFmtId="0" fontId="3" fillId="9" borderId="3" xfId="0" applyFont="1" applyFill="1" applyBorder="1"/>
    <xf numFmtId="0" fontId="5" fillId="0" borderId="5" xfId="0" applyFont="1" applyBorder="1"/>
    <xf numFmtId="0" fontId="21" fillId="9" borderId="3" xfId="0" applyFont="1" applyFill="1" applyBorder="1"/>
    <xf numFmtId="0" fontId="20" fillId="9" borderId="13" xfId="1" applyFont="1" applyFill="1" applyBorder="1"/>
    <xf numFmtId="0" fontId="19" fillId="9" borderId="13" xfId="0" applyFont="1" applyFill="1" applyBorder="1"/>
    <xf numFmtId="0" fontId="0" fillId="0" borderId="7" xfId="0" applyBorder="1"/>
    <xf numFmtId="0" fontId="5" fillId="5" borderId="3" xfId="0" applyFont="1" applyFill="1" applyBorder="1"/>
    <xf numFmtId="0" fontId="22" fillId="5" borderId="13" xfId="0" applyFont="1" applyFill="1" applyBorder="1"/>
    <xf numFmtId="0" fontId="0" fillId="5" borderId="5" xfId="0" applyFill="1" applyBorder="1"/>
    <xf numFmtId="0" fontId="0" fillId="5" borderId="7" xfId="0" applyFill="1" applyBorder="1"/>
    <xf numFmtId="0" fontId="5" fillId="5" borderId="5" xfId="0" applyFont="1" applyFill="1" applyBorder="1"/>
    <xf numFmtId="0" fontId="18" fillId="5" borderId="5" xfId="0" applyFont="1" applyFill="1" applyBorder="1"/>
    <xf numFmtId="49" fontId="22" fillId="5" borderId="6" xfId="0" applyNumberFormat="1" applyFont="1" applyFill="1" applyBorder="1"/>
    <xf numFmtId="0" fontId="14" fillId="5" borderId="0" xfId="0" applyFont="1" applyFill="1"/>
    <xf numFmtId="0" fontId="22" fillId="5" borderId="13" xfId="0" applyFont="1" applyFill="1" applyBorder="1" applyAlignment="1">
      <alignment horizontal="center" vertical="center"/>
    </xf>
    <xf numFmtId="0" fontId="22" fillId="5" borderId="0" xfId="0" applyFont="1" applyFill="1" applyAlignment="1">
      <alignment horizontal="center" vertical="center"/>
    </xf>
    <xf numFmtId="0" fontId="22" fillId="5" borderId="10" xfId="0" applyFont="1" applyFill="1" applyBorder="1" applyAlignment="1">
      <alignment horizontal="center" vertical="center"/>
    </xf>
    <xf numFmtId="0" fontId="22" fillId="5" borderId="11" xfId="0" applyFont="1" applyFill="1" applyBorder="1" applyAlignment="1">
      <alignment horizontal="center" vertical="center"/>
    </xf>
    <xf numFmtId="0" fontId="22" fillId="5" borderId="12" xfId="0" applyFont="1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50800</xdr:colOff>
          <xdr:row>17</xdr:row>
          <xdr:rowOff>50800</xdr:rowOff>
        </xdr:from>
        <xdr:to>
          <xdr:col>3</xdr:col>
          <xdr:colOff>25400</xdr:colOff>
          <xdr:row>20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GENERAR FICHERO 182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(Cambie ruta - NO USE LA RAIZ DE SU EQUIPO)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1739900</xdr:colOff>
          <xdr:row>0</xdr:row>
          <xdr:rowOff>63500</xdr:rowOff>
        </xdr:from>
        <xdr:to>
          <xdr:col>3</xdr:col>
          <xdr:colOff>0</xdr:colOff>
          <xdr:row>0</xdr:row>
          <xdr:rowOff>342900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0</xdr:row>
          <xdr:rowOff>101600</xdr:rowOff>
        </xdr:from>
        <xdr:to>
          <xdr:col>16</xdr:col>
          <xdr:colOff>1384300</xdr:colOff>
          <xdr:row>0</xdr:row>
          <xdr:rowOff>368300</xdr:rowOff>
        </xdr:to>
        <xdr:sp macro="" textlink="">
          <xdr:nvSpPr>
            <xdr:cNvPr id="5130" name="CommandButton2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netsistemas.com/182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68"/>
  <sheetViews>
    <sheetView tabSelected="1" workbookViewId="0"/>
  </sheetViews>
  <sheetFormatPr baseColWidth="10" defaultColWidth="11.5" defaultRowHeight="13" x14ac:dyDescent="0.15"/>
  <cols>
    <col min="1" max="1" width="12.33203125" bestFit="1" customWidth="1"/>
    <col min="2" max="2" width="68.5" bestFit="1" customWidth="1"/>
    <col min="3" max="3" width="39.1640625" customWidth="1"/>
  </cols>
  <sheetData>
    <row r="1" spans="2:4" ht="16" thickBot="1" x14ac:dyDescent="0.25">
      <c r="B1" s="9" t="s">
        <v>0</v>
      </c>
      <c r="C1" s="20" t="s">
        <v>1</v>
      </c>
      <c r="D1" s="25" t="s">
        <v>2</v>
      </c>
    </row>
    <row r="2" spans="2:4" ht="15" x14ac:dyDescent="0.2">
      <c r="B2" s="13" t="s">
        <v>3</v>
      </c>
      <c r="C2" s="14">
        <v>2020</v>
      </c>
    </row>
    <row r="3" spans="2:4" ht="15" x14ac:dyDescent="0.2">
      <c r="B3" s="15" t="s">
        <v>4</v>
      </c>
      <c r="C3" s="38" t="s">
        <v>5</v>
      </c>
    </row>
    <row r="4" spans="2:4" ht="15" x14ac:dyDescent="0.15">
      <c r="B4" s="19" t="s">
        <v>6</v>
      </c>
      <c r="C4" s="48" t="s">
        <v>7</v>
      </c>
    </row>
    <row r="5" spans="2:4" x14ac:dyDescent="0.15">
      <c r="B5" s="19" t="s">
        <v>8</v>
      </c>
      <c r="C5" s="16" t="s">
        <v>9</v>
      </c>
    </row>
    <row r="6" spans="2:4" ht="15" x14ac:dyDescent="0.2">
      <c r="B6" s="15" t="s">
        <v>10</v>
      </c>
      <c r="C6" s="49">
        <v>670651365</v>
      </c>
    </row>
    <row r="7" spans="2:4" ht="15" x14ac:dyDescent="0.2">
      <c r="B7" s="19" t="s">
        <v>11</v>
      </c>
      <c r="C7" s="49" t="s">
        <v>12</v>
      </c>
    </row>
    <row r="8" spans="2:4" ht="15" x14ac:dyDescent="0.2">
      <c r="B8" s="73" t="s">
        <v>13</v>
      </c>
      <c r="C8" s="74" t="s">
        <v>14</v>
      </c>
      <c r="D8" t="s">
        <v>15</v>
      </c>
    </row>
    <row r="9" spans="2:4" x14ac:dyDescent="0.15">
      <c r="B9" s="19" t="s">
        <v>16</v>
      </c>
      <c r="C9" s="16"/>
    </row>
    <row r="10" spans="2:4" ht="15" x14ac:dyDescent="0.2">
      <c r="B10" s="15" t="s">
        <v>17</v>
      </c>
      <c r="C10" s="16"/>
    </row>
    <row r="11" spans="2:4" x14ac:dyDescent="0.15">
      <c r="B11" s="19" t="s">
        <v>18</v>
      </c>
      <c r="C11" s="36"/>
    </row>
    <row r="12" spans="2:4" x14ac:dyDescent="0.15">
      <c r="B12" s="21" t="s">
        <v>19</v>
      </c>
      <c r="C12" s="37">
        <f>COUNT(SOCIOSYDATOS!G:G)</f>
        <v>391</v>
      </c>
      <c r="D12" t="s">
        <v>20</v>
      </c>
    </row>
    <row r="13" spans="2:4" x14ac:dyDescent="0.15">
      <c r="B13" s="21" t="s">
        <v>21</v>
      </c>
      <c r="C13" s="37">
        <f>SUM(SOCIOSYDATOS!G:G)</f>
        <v>21193</v>
      </c>
      <c r="D13" t="s">
        <v>20</v>
      </c>
    </row>
    <row r="14" spans="2:4" x14ac:dyDescent="0.15">
      <c r="B14" s="19" t="s">
        <v>22</v>
      </c>
      <c r="C14" s="16">
        <v>1</v>
      </c>
      <c r="D14" t="s">
        <v>23</v>
      </c>
    </row>
    <row r="15" spans="2:4" x14ac:dyDescent="0.15">
      <c r="B15" s="19" t="s">
        <v>24</v>
      </c>
      <c r="C15" s="16"/>
    </row>
    <row r="16" spans="2:4" x14ac:dyDescent="0.15">
      <c r="B16" s="19" t="s">
        <v>25</v>
      </c>
      <c r="C16" s="16"/>
    </row>
    <row r="17" spans="1:13" ht="16" thickBot="1" x14ac:dyDescent="0.25">
      <c r="B17" s="17" t="s">
        <v>26</v>
      </c>
      <c r="C17" s="40" t="s">
        <v>27</v>
      </c>
      <c r="D17" s="4" t="s">
        <v>28</v>
      </c>
      <c r="F17" s="18"/>
      <c r="G17" s="18"/>
    </row>
    <row r="18" spans="1:13" ht="24" x14ac:dyDescent="0.3">
      <c r="I18" s="11"/>
    </row>
    <row r="19" spans="1:13" ht="15" x14ac:dyDescent="0.2">
      <c r="B19" s="10"/>
      <c r="I19" s="12"/>
    </row>
    <row r="22" spans="1:13" ht="15" x14ac:dyDescent="0.2">
      <c r="B22" s="20"/>
      <c r="C22" s="24" t="s">
        <v>29</v>
      </c>
      <c r="D22" s="22"/>
      <c r="E22" s="20"/>
      <c r="G22" s="22"/>
      <c r="H22" s="22"/>
      <c r="K22" s="22"/>
    </row>
    <row r="23" spans="1:13" ht="14" thickBot="1" x14ac:dyDescent="0.2">
      <c r="A23" s="20"/>
      <c r="B23" s="4" t="s">
        <v>30</v>
      </c>
      <c r="C23" s="22"/>
      <c r="D23" s="20"/>
      <c r="F23" s="22"/>
      <c r="G23" s="22"/>
      <c r="J23" s="22"/>
    </row>
    <row r="24" spans="1:13" ht="15" x14ac:dyDescent="0.2">
      <c r="A24" s="81">
        <v>2015</v>
      </c>
      <c r="B24" s="66" t="s">
        <v>31</v>
      </c>
      <c r="C24" s="51"/>
      <c r="D24" s="52"/>
      <c r="E24" s="53"/>
      <c r="F24" s="51"/>
      <c r="G24" s="51"/>
      <c r="H24" s="54"/>
      <c r="I24" s="18"/>
      <c r="J24" s="23"/>
      <c r="K24" s="18"/>
      <c r="L24" s="18"/>
      <c r="M24" s="18"/>
    </row>
    <row r="25" spans="1:13" x14ac:dyDescent="0.15">
      <c r="A25" s="82"/>
      <c r="B25" s="20" t="s">
        <v>32</v>
      </c>
      <c r="F25" s="22"/>
      <c r="G25" s="22"/>
      <c r="H25" s="16"/>
      <c r="J25" s="22"/>
    </row>
    <row r="26" spans="1:13" x14ac:dyDescent="0.15">
      <c r="A26" s="82"/>
      <c r="B26" s="20" t="s">
        <v>33</v>
      </c>
      <c r="H26" s="16"/>
    </row>
    <row r="27" spans="1:13" x14ac:dyDescent="0.15">
      <c r="A27" s="82"/>
      <c r="B27" s="20" t="s">
        <v>34</v>
      </c>
      <c r="H27" s="16"/>
    </row>
    <row r="28" spans="1:13" ht="15" x14ac:dyDescent="0.2">
      <c r="A28" s="82"/>
      <c r="B28" s="55" t="s">
        <v>35</v>
      </c>
      <c r="H28" s="16"/>
    </row>
    <row r="29" spans="1:13" ht="15" x14ac:dyDescent="0.2">
      <c r="A29" s="82"/>
      <c r="B29" s="55" t="s">
        <v>36</v>
      </c>
      <c r="H29" s="16"/>
    </row>
    <row r="30" spans="1:13" x14ac:dyDescent="0.15">
      <c r="A30" s="82"/>
      <c r="B30" s="20" t="s">
        <v>37</v>
      </c>
      <c r="H30" s="16"/>
    </row>
    <row r="31" spans="1:13" x14ac:dyDescent="0.15">
      <c r="A31" s="82"/>
      <c r="B31" s="20" t="s">
        <v>38</v>
      </c>
      <c r="H31" s="16"/>
    </row>
    <row r="32" spans="1:13" ht="15" x14ac:dyDescent="0.2">
      <c r="A32" s="82"/>
      <c r="B32" s="55" t="s">
        <v>39</v>
      </c>
      <c r="H32" s="16"/>
    </row>
    <row r="33" spans="1:8" ht="16" thickBot="1" x14ac:dyDescent="0.25">
      <c r="A33" s="83"/>
      <c r="B33" s="56" t="s">
        <v>40</v>
      </c>
      <c r="C33" s="42"/>
      <c r="D33" s="42"/>
      <c r="E33" s="42"/>
      <c r="F33" s="42"/>
      <c r="G33" s="42"/>
      <c r="H33" s="43"/>
    </row>
    <row r="34" spans="1:8" ht="15" x14ac:dyDescent="0.2">
      <c r="A34" s="81">
        <v>2015</v>
      </c>
      <c r="B34" s="65" t="s">
        <v>41</v>
      </c>
      <c r="C34" s="41"/>
      <c r="D34" s="41"/>
      <c r="E34" s="41"/>
      <c r="F34" s="41"/>
      <c r="G34" s="41"/>
      <c r="H34" s="14"/>
    </row>
    <row r="35" spans="1:8" ht="15" x14ac:dyDescent="0.2">
      <c r="A35" s="82"/>
      <c r="B35" s="55" t="s">
        <v>42</v>
      </c>
      <c r="H35" s="16"/>
    </row>
    <row r="36" spans="1:8" ht="15" x14ac:dyDescent="0.2">
      <c r="A36" s="82"/>
      <c r="B36" s="57" t="s">
        <v>43</v>
      </c>
      <c r="H36" s="16"/>
    </row>
    <row r="37" spans="1:8" ht="16" thickBot="1" x14ac:dyDescent="0.25">
      <c r="A37" s="83"/>
      <c r="B37" s="58" t="s">
        <v>44</v>
      </c>
      <c r="C37" s="42"/>
      <c r="D37" s="42"/>
      <c r="E37" s="42"/>
      <c r="F37" s="42"/>
      <c r="G37" s="42"/>
      <c r="H37" s="43"/>
    </row>
    <row r="38" spans="1:8" ht="15" x14ac:dyDescent="0.2">
      <c r="A38" s="78">
        <v>2016</v>
      </c>
      <c r="B38" s="64" t="s">
        <v>45</v>
      </c>
      <c r="C38" s="41"/>
      <c r="D38" s="41"/>
      <c r="E38" s="41"/>
      <c r="F38" s="41"/>
      <c r="G38" s="41"/>
      <c r="H38" s="14"/>
    </row>
    <row r="39" spans="1:8" ht="15" x14ac:dyDescent="0.2">
      <c r="A39" s="79"/>
      <c r="B39" s="59" t="s">
        <v>46</v>
      </c>
      <c r="H39" s="16"/>
    </row>
    <row r="40" spans="1:8" ht="15" x14ac:dyDescent="0.2">
      <c r="A40" s="79"/>
      <c r="B40" s="59" t="s">
        <v>47</v>
      </c>
      <c r="H40" s="16"/>
    </row>
    <row r="41" spans="1:8" ht="15" x14ac:dyDescent="0.2">
      <c r="A41" s="79"/>
      <c r="B41" s="59" t="s">
        <v>48</v>
      </c>
      <c r="H41" s="16"/>
    </row>
    <row r="42" spans="1:8" ht="15" x14ac:dyDescent="0.2">
      <c r="A42" s="79"/>
      <c r="B42" s="59" t="s">
        <v>49</v>
      </c>
      <c r="H42" s="16"/>
    </row>
    <row r="43" spans="1:8" ht="15" x14ac:dyDescent="0.2">
      <c r="A43" s="79"/>
      <c r="B43" s="59" t="s">
        <v>50</v>
      </c>
      <c r="H43" s="16"/>
    </row>
    <row r="44" spans="1:8" ht="15" x14ac:dyDescent="0.2">
      <c r="A44" s="79"/>
      <c r="B44" s="59" t="s">
        <v>51</v>
      </c>
      <c r="H44" s="16"/>
    </row>
    <row r="45" spans="1:8" ht="16" thickBot="1" x14ac:dyDescent="0.25">
      <c r="A45" s="79"/>
      <c r="B45" s="59" t="s">
        <v>52</v>
      </c>
      <c r="H45" s="16"/>
    </row>
    <row r="46" spans="1:8" ht="15" x14ac:dyDescent="0.2">
      <c r="A46" s="78" t="s">
        <v>53</v>
      </c>
      <c r="B46" s="60" t="s">
        <v>54</v>
      </c>
      <c r="C46" s="41"/>
      <c r="D46" s="41"/>
      <c r="E46" s="41"/>
      <c r="F46" s="41"/>
      <c r="G46" s="41"/>
      <c r="H46" s="14"/>
    </row>
    <row r="47" spans="1:8" ht="16" thickBot="1" x14ac:dyDescent="0.25">
      <c r="A47" s="79"/>
      <c r="B47" s="59" t="s">
        <v>55</v>
      </c>
      <c r="H47" s="16"/>
    </row>
    <row r="48" spans="1:8" ht="15" x14ac:dyDescent="0.2">
      <c r="A48" s="78" t="s">
        <v>56</v>
      </c>
      <c r="B48" s="60" t="s">
        <v>57</v>
      </c>
      <c r="C48" s="41"/>
      <c r="D48" s="41"/>
      <c r="E48" s="41"/>
      <c r="F48" s="41"/>
      <c r="G48" s="41"/>
      <c r="H48" s="14"/>
    </row>
    <row r="49" spans="1:8" ht="15" x14ac:dyDescent="0.2">
      <c r="A49" s="79"/>
      <c r="B49" s="59" t="s">
        <v>58</v>
      </c>
      <c r="H49" s="16"/>
    </row>
    <row r="50" spans="1:8" ht="16" thickBot="1" x14ac:dyDescent="0.25">
      <c r="A50" s="80"/>
      <c r="B50" s="61" t="s">
        <v>59</v>
      </c>
      <c r="C50" s="42"/>
      <c r="D50" s="42"/>
      <c r="E50" s="42"/>
      <c r="F50" s="42"/>
      <c r="G50" s="42"/>
      <c r="H50" s="43"/>
    </row>
    <row r="51" spans="1:8" x14ac:dyDescent="0.15">
      <c r="A51" s="76" t="s">
        <v>60</v>
      </c>
      <c r="B51" s="62" t="s">
        <v>61</v>
      </c>
      <c r="C51" s="41"/>
      <c r="D51" s="41"/>
      <c r="E51" s="41"/>
      <c r="F51" s="41"/>
      <c r="G51" s="41"/>
      <c r="H51" s="14"/>
    </row>
    <row r="52" spans="1:8" x14ac:dyDescent="0.15">
      <c r="A52" s="77"/>
      <c r="B52" s="63" t="s">
        <v>62</v>
      </c>
      <c r="H52" s="16"/>
    </row>
    <row r="53" spans="1:8" x14ac:dyDescent="0.15">
      <c r="A53" s="77"/>
      <c r="B53" s="63" t="s">
        <v>63</v>
      </c>
      <c r="H53" s="16"/>
    </row>
    <row r="54" spans="1:8" ht="14" thickBot="1" x14ac:dyDescent="0.2">
      <c r="A54" s="77"/>
      <c r="B54" s="67" t="s">
        <v>64</v>
      </c>
      <c r="C54" s="42"/>
      <c r="D54" s="42"/>
      <c r="E54" s="42"/>
      <c r="F54" s="42"/>
      <c r="G54" s="42"/>
      <c r="H54" s="43"/>
    </row>
    <row r="55" spans="1:8" x14ac:dyDescent="0.15">
      <c r="A55" s="68" t="s">
        <v>65</v>
      </c>
      <c r="B55" s="69" t="s">
        <v>66</v>
      </c>
      <c r="C55" s="41"/>
      <c r="D55" s="41"/>
      <c r="E55" s="41"/>
      <c r="F55" s="41"/>
      <c r="G55" s="41"/>
      <c r="H55" s="14"/>
    </row>
    <row r="56" spans="1:8" x14ac:dyDescent="0.15">
      <c r="A56" s="70"/>
      <c r="B56" s="20" t="s">
        <v>67</v>
      </c>
      <c r="H56" s="16"/>
    </row>
    <row r="57" spans="1:8" x14ac:dyDescent="0.15">
      <c r="A57" s="72" t="s">
        <v>68</v>
      </c>
      <c r="H57" s="16"/>
    </row>
    <row r="58" spans="1:8" x14ac:dyDescent="0.15">
      <c r="A58" s="70"/>
      <c r="H58" s="16"/>
    </row>
    <row r="59" spans="1:8" ht="14" thickBot="1" x14ac:dyDescent="0.2">
      <c r="A59" s="71"/>
      <c r="B59" s="42"/>
      <c r="C59" s="42"/>
      <c r="D59" s="42"/>
      <c r="E59" s="42"/>
      <c r="F59" s="42"/>
      <c r="G59" s="42"/>
      <c r="H59" s="43"/>
    </row>
    <row r="60" spans="1:8" x14ac:dyDescent="0.15">
      <c r="A60" s="20" t="s">
        <v>69</v>
      </c>
      <c r="B60" s="20" t="s">
        <v>70</v>
      </c>
    </row>
    <row r="61" spans="1:8" x14ac:dyDescent="0.15">
      <c r="B61" s="20" t="s">
        <v>71</v>
      </c>
    </row>
    <row r="62" spans="1:8" x14ac:dyDescent="0.15">
      <c r="A62" s="20" t="s">
        <v>72</v>
      </c>
      <c r="B62" s="20" t="s">
        <v>73</v>
      </c>
    </row>
    <row r="63" spans="1:8" x14ac:dyDescent="0.15">
      <c r="B63" s="20" t="s">
        <v>74</v>
      </c>
    </row>
    <row r="64" spans="1:8" x14ac:dyDescent="0.15">
      <c r="A64" s="20" t="s">
        <v>75</v>
      </c>
      <c r="B64" s="20" t="s">
        <v>76</v>
      </c>
    </row>
    <row r="65" spans="1:2" x14ac:dyDescent="0.15">
      <c r="A65" s="20" t="s">
        <v>77</v>
      </c>
      <c r="B65" s="20" t="s">
        <v>78</v>
      </c>
    </row>
    <row r="66" spans="1:2" x14ac:dyDescent="0.15">
      <c r="A66" s="20" t="s">
        <v>79</v>
      </c>
      <c r="B66" s="20" t="s">
        <v>80</v>
      </c>
    </row>
    <row r="67" spans="1:2" x14ac:dyDescent="0.15">
      <c r="A67" s="20" t="s">
        <v>81</v>
      </c>
      <c r="B67" s="20" t="s">
        <v>82</v>
      </c>
    </row>
    <row r="68" spans="1:2" x14ac:dyDescent="0.15">
      <c r="A68" s="20" t="s">
        <v>83</v>
      </c>
      <c r="B68" s="20" t="s">
        <v>84</v>
      </c>
    </row>
  </sheetData>
  <mergeCells count="6">
    <mergeCell ref="A51:A54"/>
    <mergeCell ref="A48:A50"/>
    <mergeCell ref="A34:A37"/>
    <mergeCell ref="A24:A33"/>
    <mergeCell ref="A38:A45"/>
    <mergeCell ref="A46:A47"/>
  </mergeCells>
  <hyperlinks>
    <hyperlink ref="C22" r:id="rId1" xr:uid="{00000000-0004-0000-0000-000000000000}"/>
  </hyperlinks>
  <pageMargins left="0.7" right="0.7" top="0.75" bottom="0.75" header="0.3" footer="0.3"/>
  <pageSetup paperSize="9" orientation="portrait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1">
                <anchor moveWithCells="1" sizeWithCells="1">
                  <from>
                    <xdr:col>1</xdr:col>
                    <xdr:colOff>50800</xdr:colOff>
                    <xdr:row>17</xdr:row>
                    <xdr:rowOff>50800</xdr:rowOff>
                  </from>
                  <to>
                    <xdr:col>3</xdr:col>
                    <xdr:colOff>25400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FFFF00"/>
  </sheetPr>
  <dimension ref="A1:V393"/>
  <sheetViews>
    <sheetView workbookViewId="0">
      <selection activeCell="K1" sqref="K1"/>
    </sheetView>
  </sheetViews>
  <sheetFormatPr baseColWidth="10" defaultColWidth="11.5" defaultRowHeight="13" x14ac:dyDescent="0.15"/>
  <cols>
    <col min="1" max="1" width="19" customWidth="1"/>
    <col min="2" max="2" width="20" customWidth="1"/>
    <col min="3" max="3" width="42.6640625" customWidth="1"/>
    <col min="4" max="4" width="15.33203125" customWidth="1"/>
    <col min="5" max="5" width="13.1640625" customWidth="1"/>
    <col min="6" max="6" width="14" customWidth="1"/>
    <col min="7" max="7" width="14.83203125" customWidth="1"/>
    <col min="8" max="8" width="12.6640625" customWidth="1"/>
    <col min="9" max="9" width="13.1640625" style="29" customWidth="1"/>
    <col min="10" max="10" width="18.1640625" customWidth="1"/>
    <col min="11" max="11" width="14.33203125" customWidth="1"/>
    <col min="12" max="12" width="14.5" customWidth="1"/>
    <col min="13" max="13" width="12.5" customWidth="1"/>
    <col min="14" max="14" width="14" customWidth="1"/>
    <col min="17" max="17" width="21" customWidth="1"/>
    <col min="18" max="18" width="22" customWidth="1"/>
    <col min="19" max="19" width="21.5" customWidth="1"/>
    <col min="20" max="20" width="20.6640625" bestFit="1" customWidth="1"/>
    <col min="21" max="21" width="13.83203125" customWidth="1"/>
  </cols>
  <sheetData>
    <row r="1" spans="1:22" s="4" customFormat="1" ht="47.25" customHeight="1" x14ac:dyDescent="0.15">
      <c r="A1" s="4" t="s">
        <v>85</v>
      </c>
      <c r="B1" s="4" t="s">
        <v>86</v>
      </c>
      <c r="C1" s="4" t="s">
        <v>87</v>
      </c>
      <c r="D1" s="4" t="s">
        <v>88</v>
      </c>
      <c r="E1" s="4" t="s">
        <v>89</v>
      </c>
      <c r="F1" s="4" t="s">
        <v>90</v>
      </c>
      <c r="G1" s="4" t="s">
        <v>91</v>
      </c>
      <c r="H1" s="4" t="s">
        <v>92</v>
      </c>
      <c r="I1" s="28" t="s">
        <v>93</v>
      </c>
      <c r="J1" s="39" t="s">
        <v>94</v>
      </c>
      <c r="K1" s="75" t="s">
        <v>95</v>
      </c>
      <c r="L1" s="4" t="s">
        <v>96</v>
      </c>
      <c r="M1" s="4" t="s">
        <v>97</v>
      </c>
      <c r="N1" s="4" t="s">
        <v>98</v>
      </c>
      <c r="O1" s="4" t="s">
        <v>99</v>
      </c>
      <c r="Q1" s="39" t="s">
        <v>100</v>
      </c>
      <c r="R1" s="39" t="s">
        <v>101</v>
      </c>
      <c r="S1" s="39" t="s">
        <v>102</v>
      </c>
      <c r="T1" s="39" t="s">
        <v>103</v>
      </c>
      <c r="U1" s="4" t="s">
        <v>104</v>
      </c>
      <c r="V1" s="4" t="s">
        <v>105</v>
      </c>
    </row>
    <row r="2" spans="1:22" x14ac:dyDescent="0.15">
      <c r="A2" s="44" t="s">
        <v>106</v>
      </c>
      <c r="C2" s="44" t="s">
        <v>107</v>
      </c>
      <c r="D2" t="str">
        <f>VLOOKUP(Q2,PROVINCIAS!B$3:$D$70,2,0)</f>
        <v>50</v>
      </c>
      <c r="E2" s="20" t="s">
        <v>108</v>
      </c>
      <c r="F2">
        <f>GetDeduccion2016(G2,U2,K2)</f>
        <v>80</v>
      </c>
      <c r="G2" s="44"/>
      <c r="I2" s="29">
        <f>VLOOKUP(Q2,PROVINCIAS!B$2:$D$70,3,FALSE)</f>
        <v>2</v>
      </c>
      <c r="K2" s="20" t="str">
        <f>GetNaturaleza(A2)</f>
        <v>F</v>
      </c>
      <c r="Q2" s="44" t="s">
        <v>109</v>
      </c>
      <c r="U2">
        <f>GetRecurrente(G2,R2,S2,T2)</f>
        <v>2</v>
      </c>
    </row>
    <row r="3" spans="1:22" x14ac:dyDescent="0.15">
      <c r="A3" s="44" t="s">
        <v>110</v>
      </c>
      <c r="C3" s="44" t="s">
        <v>111</v>
      </c>
      <c r="D3" t="str">
        <f>VLOOKUP(Q3,PROVINCIAS!B$3:$D$70,2,0)</f>
        <v>28</v>
      </c>
      <c r="E3" s="20" t="s">
        <v>108</v>
      </c>
      <c r="F3">
        <f t="shared" ref="F3:F66" si="0">GetDeduccion2016(G3,U3,K3)</f>
        <v>80</v>
      </c>
      <c r="G3" s="45">
        <v>35</v>
      </c>
      <c r="I3" s="29">
        <f>VLOOKUP(Q3,PROVINCIAS!B$2:$D$70,3,FALSE)</f>
        <v>12</v>
      </c>
      <c r="K3" s="20" t="str">
        <f t="shared" ref="K3:K66" si="1">GetNaturaleza(A3)</f>
        <v>F</v>
      </c>
      <c r="Q3" s="45" t="s">
        <v>112</v>
      </c>
      <c r="R3">
        <v>1</v>
      </c>
      <c r="S3">
        <v>1</v>
      </c>
      <c r="T3">
        <v>1</v>
      </c>
      <c r="U3">
        <f t="shared" ref="U3:U66" si="2">GetRecurrente(G3,R3,S3,T3)</f>
        <v>1</v>
      </c>
    </row>
    <row r="4" spans="1:22" x14ac:dyDescent="0.15">
      <c r="A4" s="44" t="s">
        <v>113</v>
      </c>
      <c r="C4" s="44" t="s">
        <v>114</v>
      </c>
      <c r="D4" t="str">
        <f>VLOOKUP(Q4,PROVINCIAS!B$3:$D$70,2,0)</f>
        <v>50</v>
      </c>
      <c r="E4" s="20" t="s">
        <v>108</v>
      </c>
      <c r="F4">
        <f t="shared" si="0"/>
        <v>80</v>
      </c>
      <c r="G4" s="45">
        <v>30</v>
      </c>
      <c r="I4" s="29">
        <f>VLOOKUP(Q4,PROVINCIAS!B$2:$D$70,3,FALSE)</f>
        <v>2</v>
      </c>
      <c r="K4" s="20" t="str">
        <f t="shared" si="1"/>
        <v>F</v>
      </c>
      <c r="Q4" s="45" t="s">
        <v>109</v>
      </c>
      <c r="R4">
        <v>0</v>
      </c>
      <c r="S4">
        <v>0</v>
      </c>
      <c r="U4">
        <f t="shared" si="2"/>
        <v>2</v>
      </c>
    </row>
    <row r="5" spans="1:22" x14ac:dyDescent="0.15">
      <c r="A5" s="44" t="s">
        <v>115</v>
      </c>
      <c r="C5" s="44" t="s">
        <v>111</v>
      </c>
      <c r="D5" t="str">
        <f>VLOOKUP(Q5,PROVINCIAS!B$3:$D$70,2,0)</f>
        <v>20</v>
      </c>
      <c r="E5" s="20" t="s">
        <v>108</v>
      </c>
      <c r="F5">
        <f t="shared" si="0"/>
        <v>80</v>
      </c>
      <c r="G5" s="45">
        <v>80</v>
      </c>
      <c r="I5" s="29">
        <f>VLOOKUP(Q5,PROVINCIAS!B$2:$D$70,3,FALSE)</f>
        <v>0</v>
      </c>
      <c r="K5" s="20" t="str">
        <f>GetNaturaleza(A5)</f>
        <v>F</v>
      </c>
      <c r="Q5" s="45" t="s">
        <v>116</v>
      </c>
      <c r="R5">
        <v>0</v>
      </c>
      <c r="S5">
        <v>0</v>
      </c>
      <c r="U5">
        <f t="shared" si="2"/>
        <v>2</v>
      </c>
    </row>
    <row r="6" spans="1:22" x14ac:dyDescent="0.15">
      <c r="A6" s="44" t="s">
        <v>110</v>
      </c>
      <c r="C6" s="44" t="s">
        <v>111</v>
      </c>
      <c r="D6" t="str">
        <f>VLOOKUP(Q6,PROVINCIAS!B$3:$D$70,2,0)</f>
        <v>33</v>
      </c>
      <c r="E6" s="20" t="s">
        <v>108</v>
      </c>
      <c r="F6">
        <f t="shared" si="0"/>
        <v>80</v>
      </c>
      <c r="G6" s="45">
        <v>50</v>
      </c>
      <c r="I6" s="29">
        <f>VLOOKUP(Q6,PROVINCIAS!B$2:$D$70,3,FALSE)</f>
        <v>3</v>
      </c>
      <c r="K6" s="20" t="str">
        <f t="shared" si="1"/>
        <v>F</v>
      </c>
      <c r="Q6" s="45" t="s">
        <v>117</v>
      </c>
      <c r="R6">
        <v>0</v>
      </c>
      <c r="S6">
        <v>0</v>
      </c>
      <c r="U6">
        <f t="shared" si="2"/>
        <v>2</v>
      </c>
    </row>
    <row r="7" spans="1:22" x14ac:dyDescent="0.15">
      <c r="A7" s="44" t="s">
        <v>110</v>
      </c>
      <c r="C7" s="44" t="s">
        <v>111</v>
      </c>
      <c r="D7" t="str">
        <f>VLOOKUP(Q7,PROVINCIAS!B$3:$D$70,2,0)</f>
        <v>03</v>
      </c>
      <c r="E7" s="20" t="s">
        <v>108</v>
      </c>
      <c r="F7">
        <f t="shared" si="0"/>
        <v>80</v>
      </c>
      <c r="G7" s="44">
        <v>100</v>
      </c>
      <c r="I7" s="29">
        <f>VLOOKUP(Q7,PROVINCIAS!B$2:$D$70,3,FALSE)</f>
        <v>17</v>
      </c>
      <c r="K7" s="20" t="str">
        <f t="shared" si="1"/>
        <v>F</v>
      </c>
      <c r="Q7" s="44" t="s">
        <v>118</v>
      </c>
      <c r="R7">
        <v>0</v>
      </c>
      <c r="S7">
        <v>0</v>
      </c>
      <c r="U7">
        <f t="shared" si="2"/>
        <v>2</v>
      </c>
    </row>
    <row r="8" spans="1:22" x14ac:dyDescent="0.15">
      <c r="A8" s="44" t="s">
        <v>110</v>
      </c>
      <c r="C8" s="44" t="s">
        <v>111</v>
      </c>
      <c r="D8" t="str">
        <f>VLOOKUP(Q8,PROVINCIAS!B$3:$D$70,2,0)</f>
        <v>33</v>
      </c>
      <c r="E8" s="20" t="s">
        <v>108</v>
      </c>
      <c r="F8">
        <f t="shared" si="0"/>
        <v>80</v>
      </c>
      <c r="G8" s="45">
        <v>25</v>
      </c>
      <c r="I8" s="29">
        <f>VLOOKUP(Q8,PROVINCIAS!B$2:$D$70,3,FALSE)</f>
        <v>3</v>
      </c>
      <c r="K8" s="20" t="str">
        <f t="shared" si="1"/>
        <v>F</v>
      </c>
      <c r="Q8" s="45" t="s">
        <v>117</v>
      </c>
      <c r="R8">
        <v>0</v>
      </c>
      <c r="S8">
        <v>0</v>
      </c>
      <c r="U8">
        <f t="shared" si="2"/>
        <v>2</v>
      </c>
    </row>
    <row r="9" spans="1:22" x14ac:dyDescent="0.15">
      <c r="A9" s="44" t="s">
        <v>110</v>
      </c>
      <c r="C9" s="44" t="s">
        <v>111</v>
      </c>
      <c r="D9" t="str">
        <f>VLOOKUP(Q9,PROVINCIAS!B$3:$D$70,2,0)</f>
        <v>28</v>
      </c>
      <c r="E9" s="20" t="s">
        <v>108</v>
      </c>
      <c r="F9">
        <f t="shared" si="0"/>
        <v>80</v>
      </c>
      <c r="G9" s="44">
        <v>25</v>
      </c>
      <c r="I9" s="29">
        <f>VLOOKUP(Q9,PROVINCIAS!B$2:$D$70,3,FALSE)</f>
        <v>12</v>
      </c>
      <c r="K9" s="20" t="str">
        <f t="shared" si="1"/>
        <v>F</v>
      </c>
      <c r="Q9" s="44" t="s">
        <v>112</v>
      </c>
      <c r="R9">
        <v>0</v>
      </c>
      <c r="S9">
        <v>0</v>
      </c>
      <c r="U9">
        <f t="shared" si="2"/>
        <v>2</v>
      </c>
    </row>
    <row r="10" spans="1:22" x14ac:dyDescent="0.15">
      <c r="A10" s="44" t="s">
        <v>110</v>
      </c>
      <c r="C10" s="44" t="s">
        <v>111</v>
      </c>
      <c r="D10" t="str">
        <f>VLOOKUP(Q10,PROVINCIAS!B$3:$D$70,2,0)</f>
        <v>31</v>
      </c>
      <c r="E10" s="20" t="s">
        <v>108</v>
      </c>
      <c r="F10">
        <f t="shared" si="0"/>
        <v>80</v>
      </c>
      <c r="G10" s="45">
        <v>25</v>
      </c>
      <c r="I10" s="29">
        <f>VLOOKUP(Q10,PROVINCIAS!B$2:$D$70,3,FALSE)</f>
        <v>0</v>
      </c>
      <c r="K10" s="20" t="str">
        <f t="shared" si="1"/>
        <v>F</v>
      </c>
      <c r="Q10" s="45" t="s">
        <v>119</v>
      </c>
      <c r="R10">
        <v>0</v>
      </c>
      <c r="S10">
        <v>0</v>
      </c>
      <c r="U10">
        <f t="shared" si="2"/>
        <v>2</v>
      </c>
    </row>
    <row r="11" spans="1:22" x14ac:dyDescent="0.15">
      <c r="A11" s="44" t="s">
        <v>110</v>
      </c>
      <c r="C11" s="44" t="s">
        <v>111</v>
      </c>
      <c r="D11" t="str">
        <f>VLOOKUP(Q11,PROVINCIAS!B$3:$D$70,2,0)</f>
        <v>46</v>
      </c>
      <c r="E11" s="20" t="s">
        <v>108</v>
      </c>
      <c r="F11">
        <f t="shared" si="0"/>
        <v>80</v>
      </c>
      <c r="G11" s="44">
        <v>25</v>
      </c>
      <c r="I11" s="29">
        <f>VLOOKUP(Q11,PROVINCIAS!B$2:$D$70,3,FALSE)</f>
        <v>17</v>
      </c>
      <c r="K11" s="20" t="str">
        <f t="shared" si="1"/>
        <v>F</v>
      </c>
      <c r="Q11" s="44" t="s">
        <v>120</v>
      </c>
      <c r="R11">
        <v>0</v>
      </c>
      <c r="S11">
        <v>0</v>
      </c>
      <c r="U11">
        <f t="shared" si="2"/>
        <v>2</v>
      </c>
    </row>
    <row r="12" spans="1:22" x14ac:dyDescent="0.15">
      <c r="A12" s="44" t="s">
        <v>110</v>
      </c>
      <c r="C12" s="44" t="s">
        <v>111</v>
      </c>
      <c r="D12" t="str">
        <f>VLOOKUP(Q12,PROVINCIAS!B$3:$D$70,2,0)</f>
        <v>10</v>
      </c>
      <c r="E12" s="20" t="s">
        <v>108</v>
      </c>
      <c r="F12">
        <f t="shared" si="0"/>
        <v>80</v>
      </c>
      <c r="G12" s="44">
        <v>25</v>
      </c>
      <c r="I12" s="29">
        <f>VLOOKUP(Q12,PROVINCIAS!B$2:$D$70,3,FALSE)</f>
        <v>10</v>
      </c>
      <c r="K12" s="20" t="str">
        <f t="shared" si="1"/>
        <v>F</v>
      </c>
      <c r="Q12" s="44" t="s">
        <v>121</v>
      </c>
      <c r="R12">
        <v>0</v>
      </c>
      <c r="S12">
        <v>0</v>
      </c>
      <c r="U12">
        <f t="shared" si="2"/>
        <v>2</v>
      </c>
    </row>
    <row r="13" spans="1:22" x14ac:dyDescent="0.15">
      <c r="A13" s="44" t="s">
        <v>110</v>
      </c>
      <c r="C13" s="44" t="s">
        <v>111</v>
      </c>
      <c r="D13" t="str">
        <f>VLOOKUP(Q13,PROVINCIAS!B$3:$D$70,2,0)</f>
        <v>33</v>
      </c>
      <c r="E13" s="20" t="s">
        <v>108</v>
      </c>
      <c r="F13">
        <f t="shared" si="0"/>
        <v>80</v>
      </c>
      <c r="G13" s="45">
        <v>25</v>
      </c>
      <c r="I13" s="29">
        <f>VLOOKUP(Q13,PROVINCIAS!B$2:$D$70,3,FALSE)</f>
        <v>3</v>
      </c>
      <c r="K13" s="20" t="str">
        <f t="shared" si="1"/>
        <v>F</v>
      </c>
      <c r="Q13" s="45" t="s">
        <v>117</v>
      </c>
      <c r="R13">
        <v>0</v>
      </c>
      <c r="S13">
        <v>0</v>
      </c>
      <c r="U13">
        <f t="shared" si="2"/>
        <v>2</v>
      </c>
    </row>
    <row r="14" spans="1:22" x14ac:dyDescent="0.15">
      <c r="A14" s="44" t="s">
        <v>110</v>
      </c>
      <c r="C14" s="44" t="s">
        <v>111</v>
      </c>
      <c r="D14" t="str">
        <f>VLOOKUP(Q14,PROVINCIAS!B$3:$D$70,2,0)</f>
        <v>19</v>
      </c>
      <c r="E14" s="20" t="s">
        <v>108</v>
      </c>
      <c r="F14">
        <f t="shared" si="0"/>
        <v>80</v>
      </c>
      <c r="G14" s="45">
        <v>25</v>
      </c>
      <c r="I14" s="29">
        <f>VLOOKUP(Q14,PROVINCIAS!B$2:$D$70,3,FALSE)</f>
        <v>7</v>
      </c>
      <c r="K14" s="20" t="str">
        <f t="shared" si="1"/>
        <v>F</v>
      </c>
      <c r="Q14" s="45" t="s">
        <v>122</v>
      </c>
      <c r="R14">
        <v>0</v>
      </c>
      <c r="S14">
        <v>0</v>
      </c>
      <c r="U14">
        <f t="shared" si="2"/>
        <v>2</v>
      </c>
    </row>
    <row r="15" spans="1:22" x14ac:dyDescent="0.15">
      <c r="A15" s="44" t="s">
        <v>110</v>
      </c>
      <c r="C15" s="44" t="s">
        <v>111</v>
      </c>
      <c r="D15" t="str">
        <f>VLOOKUP(Q15,PROVINCIAS!B$3:$D$70,2,0)</f>
        <v>20</v>
      </c>
      <c r="E15" s="20" t="s">
        <v>108</v>
      </c>
      <c r="F15">
        <f t="shared" si="0"/>
        <v>80</v>
      </c>
      <c r="G15" s="44">
        <v>60</v>
      </c>
      <c r="I15" s="29">
        <f>VLOOKUP(Q15,PROVINCIAS!B$2:$D$70,3,FALSE)</f>
        <v>0</v>
      </c>
      <c r="K15" s="20" t="str">
        <f t="shared" si="1"/>
        <v>F</v>
      </c>
      <c r="Q15" s="44" t="s">
        <v>116</v>
      </c>
      <c r="R15">
        <v>0</v>
      </c>
      <c r="S15">
        <v>0</v>
      </c>
      <c r="U15">
        <f t="shared" si="2"/>
        <v>2</v>
      </c>
    </row>
    <row r="16" spans="1:22" x14ac:dyDescent="0.15">
      <c r="A16" s="44" t="s">
        <v>110</v>
      </c>
      <c r="C16" s="44" t="s">
        <v>111</v>
      </c>
      <c r="D16" t="str">
        <f>VLOOKUP(Q16,PROVINCIAS!B$3:$D$70,2,0)</f>
        <v>28</v>
      </c>
      <c r="E16" s="20" t="s">
        <v>108</v>
      </c>
      <c r="F16">
        <f t="shared" si="0"/>
        <v>80</v>
      </c>
      <c r="G16" s="44">
        <v>25</v>
      </c>
      <c r="I16" s="29">
        <f>VLOOKUP(Q16,PROVINCIAS!B$2:$D$70,3,FALSE)</f>
        <v>12</v>
      </c>
      <c r="K16" s="20" t="str">
        <f t="shared" si="1"/>
        <v>F</v>
      </c>
      <c r="Q16" s="44" t="s">
        <v>112</v>
      </c>
      <c r="R16">
        <v>0</v>
      </c>
      <c r="S16">
        <v>0</v>
      </c>
      <c r="U16">
        <f t="shared" si="2"/>
        <v>2</v>
      </c>
    </row>
    <row r="17" spans="1:21" x14ac:dyDescent="0.15">
      <c r="A17" s="44" t="s">
        <v>110</v>
      </c>
      <c r="C17" s="44" t="s">
        <v>111</v>
      </c>
      <c r="D17" t="str">
        <f>VLOOKUP(Q17,PROVINCIAS!B$3:$D$70,2,0)</f>
        <v>46</v>
      </c>
      <c r="E17" s="20" t="s">
        <v>108</v>
      </c>
      <c r="F17">
        <f t="shared" si="0"/>
        <v>80</v>
      </c>
      <c r="G17" s="45">
        <v>25</v>
      </c>
      <c r="I17" s="29">
        <f>VLOOKUP(Q17,PROVINCIAS!B$2:$D$70,3,FALSE)</f>
        <v>17</v>
      </c>
      <c r="K17" s="20" t="str">
        <f t="shared" si="1"/>
        <v>F</v>
      </c>
      <c r="Q17" s="45" t="s">
        <v>120</v>
      </c>
      <c r="R17">
        <v>0</v>
      </c>
      <c r="S17">
        <v>0</v>
      </c>
      <c r="U17">
        <f t="shared" si="2"/>
        <v>2</v>
      </c>
    </row>
    <row r="18" spans="1:21" x14ac:dyDescent="0.15">
      <c r="A18" s="44" t="s">
        <v>110</v>
      </c>
      <c r="C18" s="44" t="s">
        <v>111</v>
      </c>
      <c r="D18" t="str">
        <f>VLOOKUP(Q18,PROVINCIAS!B$3:$D$70,2,0)</f>
        <v>33</v>
      </c>
      <c r="E18" s="20" t="s">
        <v>108</v>
      </c>
      <c r="F18">
        <f t="shared" si="0"/>
        <v>80</v>
      </c>
      <c r="G18" s="45">
        <v>25</v>
      </c>
      <c r="I18" s="29">
        <f>VLOOKUP(Q18,PROVINCIAS!B$2:$D$70,3,FALSE)</f>
        <v>3</v>
      </c>
      <c r="K18" s="20" t="str">
        <f t="shared" si="1"/>
        <v>F</v>
      </c>
      <c r="Q18" s="45" t="s">
        <v>117</v>
      </c>
      <c r="R18">
        <v>0</v>
      </c>
      <c r="S18">
        <v>0</v>
      </c>
      <c r="U18">
        <f t="shared" si="2"/>
        <v>2</v>
      </c>
    </row>
    <row r="19" spans="1:21" x14ac:dyDescent="0.15">
      <c r="A19" s="44" t="s">
        <v>110</v>
      </c>
      <c r="C19" s="44" t="s">
        <v>111</v>
      </c>
      <c r="D19" t="str">
        <f>VLOOKUP(Q19,PROVINCIAS!B$3:$D$70,2,0)</f>
        <v>34</v>
      </c>
      <c r="E19" s="20" t="s">
        <v>108</v>
      </c>
      <c r="F19">
        <f t="shared" si="0"/>
        <v>80</v>
      </c>
      <c r="G19" s="45">
        <v>30</v>
      </c>
      <c r="I19" s="29">
        <f>VLOOKUP(Q19,PROVINCIAS!B$2:$D$70,3,FALSE)</f>
        <v>8</v>
      </c>
      <c r="K19" s="20" t="str">
        <f t="shared" si="1"/>
        <v>F</v>
      </c>
      <c r="Q19" s="45" t="s">
        <v>123</v>
      </c>
      <c r="R19">
        <v>0</v>
      </c>
      <c r="S19">
        <v>0</v>
      </c>
      <c r="U19">
        <f t="shared" si="2"/>
        <v>2</v>
      </c>
    </row>
    <row r="20" spans="1:21" x14ac:dyDescent="0.15">
      <c r="A20" s="44" t="s">
        <v>110</v>
      </c>
      <c r="C20" s="44" t="s">
        <v>111</v>
      </c>
      <c r="D20" t="str">
        <f>VLOOKUP(Q20,PROVINCIAS!B$3:$D$70,2,0)</f>
        <v>28</v>
      </c>
      <c r="E20" s="20" t="s">
        <v>108</v>
      </c>
      <c r="F20">
        <f t="shared" si="0"/>
        <v>80</v>
      </c>
      <c r="G20" s="44">
        <v>40</v>
      </c>
      <c r="I20" s="29">
        <f>VLOOKUP(Q20,PROVINCIAS!B$2:$D$70,3,FALSE)</f>
        <v>12</v>
      </c>
      <c r="K20" s="20" t="str">
        <f t="shared" si="1"/>
        <v>F</v>
      </c>
      <c r="Q20" s="44" t="s">
        <v>112</v>
      </c>
      <c r="R20">
        <v>0</v>
      </c>
      <c r="S20">
        <v>0</v>
      </c>
      <c r="U20">
        <f t="shared" si="2"/>
        <v>2</v>
      </c>
    </row>
    <row r="21" spans="1:21" x14ac:dyDescent="0.15">
      <c r="A21" s="44" t="s">
        <v>110</v>
      </c>
      <c r="C21" s="44" t="s">
        <v>111</v>
      </c>
      <c r="D21" t="str">
        <f>VLOOKUP(Q21,PROVINCIAS!B$3:$D$70,2,0)</f>
        <v>29</v>
      </c>
      <c r="E21" s="20" t="s">
        <v>108</v>
      </c>
      <c r="F21">
        <f t="shared" si="0"/>
        <v>80</v>
      </c>
      <c r="G21" s="44">
        <v>25</v>
      </c>
      <c r="I21" s="29">
        <f>VLOOKUP(Q21,PROVINCIAS!B$2:$D$70,3,FALSE)</f>
        <v>1</v>
      </c>
      <c r="K21" s="20" t="str">
        <f t="shared" si="1"/>
        <v>F</v>
      </c>
      <c r="Q21" s="44" t="s">
        <v>124</v>
      </c>
      <c r="R21">
        <v>0</v>
      </c>
      <c r="S21">
        <v>0</v>
      </c>
      <c r="U21">
        <f t="shared" si="2"/>
        <v>2</v>
      </c>
    </row>
    <row r="22" spans="1:21" x14ac:dyDescent="0.15">
      <c r="A22" s="44" t="s">
        <v>110</v>
      </c>
      <c r="C22" s="44" t="s">
        <v>111</v>
      </c>
      <c r="D22" t="str">
        <f>VLOOKUP(Q22,PROVINCIAS!B$3:$D$70,2,0)</f>
        <v>28</v>
      </c>
      <c r="E22" s="20" t="s">
        <v>108</v>
      </c>
      <c r="F22">
        <f t="shared" si="0"/>
        <v>80</v>
      </c>
      <c r="G22" s="45">
        <v>100</v>
      </c>
      <c r="I22" s="29">
        <f>VLOOKUP(Q22,PROVINCIAS!B$2:$D$70,3,FALSE)</f>
        <v>12</v>
      </c>
      <c r="K22" s="20" t="str">
        <f t="shared" si="1"/>
        <v>F</v>
      </c>
      <c r="Q22" s="45" t="s">
        <v>112</v>
      </c>
      <c r="R22">
        <v>0</v>
      </c>
      <c r="S22">
        <v>0</v>
      </c>
      <c r="U22">
        <f t="shared" si="2"/>
        <v>2</v>
      </c>
    </row>
    <row r="23" spans="1:21" x14ac:dyDescent="0.15">
      <c r="A23" s="44" t="s">
        <v>110</v>
      </c>
      <c r="C23" s="44" t="s">
        <v>111</v>
      </c>
      <c r="D23" t="str">
        <f>VLOOKUP(Q23,PROVINCIAS!B$3:$D$70,2,0)</f>
        <v>16</v>
      </c>
      <c r="E23" s="20" t="s">
        <v>108</v>
      </c>
      <c r="F23">
        <f t="shared" si="0"/>
        <v>80</v>
      </c>
      <c r="G23" s="45">
        <v>25</v>
      </c>
      <c r="I23" s="29">
        <f>VLOOKUP(Q23,PROVINCIAS!B$2:$D$70,3,FALSE)</f>
        <v>7</v>
      </c>
      <c r="K23" s="20" t="str">
        <f t="shared" si="1"/>
        <v>F</v>
      </c>
      <c r="Q23" s="45" t="s">
        <v>125</v>
      </c>
      <c r="R23">
        <v>0</v>
      </c>
      <c r="S23">
        <v>0</v>
      </c>
      <c r="U23">
        <f t="shared" si="2"/>
        <v>2</v>
      </c>
    </row>
    <row r="24" spans="1:21" x14ac:dyDescent="0.15">
      <c r="A24" s="44" t="s">
        <v>110</v>
      </c>
      <c r="C24" s="44" t="s">
        <v>111</v>
      </c>
      <c r="D24" t="str">
        <f>VLOOKUP(Q24,PROVINCIAS!B$3:$D$70,2,0)</f>
        <v>44</v>
      </c>
      <c r="E24" s="20" t="s">
        <v>108</v>
      </c>
      <c r="F24">
        <f t="shared" si="0"/>
        <v>80</v>
      </c>
      <c r="G24" s="44">
        <v>25</v>
      </c>
      <c r="I24" s="29">
        <f>VLOOKUP(Q24,PROVINCIAS!B$2:$D$70,3,FALSE)</f>
        <v>2</v>
      </c>
      <c r="K24" s="20" t="str">
        <f t="shared" si="1"/>
        <v>F</v>
      </c>
      <c r="Q24" s="44" t="s">
        <v>126</v>
      </c>
      <c r="R24">
        <v>0</v>
      </c>
      <c r="S24">
        <v>0</v>
      </c>
      <c r="U24">
        <f t="shared" si="2"/>
        <v>2</v>
      </c>
    </row>
    <row r="25" spans="1:21" x14ac:dyDescent="0.15">
      <c r="A25" s="44" t="s">
        <v>110</v>
      </c>
      <c r="C25" s="44" t="s">
        <v>111</v>
      </c>
      <c r="D25" t="str">
        <f>VLOOKUP(Q25,PROVINCIAS!B$3:$D$70,2,0)</f>
        <v>09</v>
      </c>
      <c r="E25" s="20" t="s">
        <v>108</v>
      </c>
      <c r="F25">
        <f t="shared" si="0"/>
        <v>80</v>
      </c>
      <c r="G25" s="44">
        <v>25</v>
      </c>
      <c r="I25" s="29">
        <f>VLOOKUP(Q25,PROVINCIAS!B$2:$D$70,3,FALSE)</f>
        <v>8</v>
      </c>
      <c r="K25" s="20" t="str">
        <f t="shared" si="1"/>
        <v>F</v>
      </c>
      <c r="Q25" s="44" t="s">
        <v>127</v>
      </c>
      <c r="R25">
        <v>0</v>
      </c>
      <c r="S25">
        <v>0</v>
      </c>
      <c r="U25">
        <f t="shared" si="2"/>
        <v>2</v>
      </c>
    </row>
    <row r="26" spans="1:21" x14ac:dyDescent="0.15">
      <c r="A26" s="44" t="s">
        <v>110</v>
      </c>
      <c r="C26" s="44" t="s">
        <v>111</v>
      </c>
      <c r="D26" t="str">
        <f>VLOOKUP(Q26,PROVINCIAS!B$3:$D$70,2,0)</f>
        <v>08</v>
      </c>
      <c r="E26" s="20" t="s">
        <v>108</v>
      </c>
      <c r="F26">
        <f t="shared" si="0"/>
        <v>80</v>
      </c>
      <c r="G26" s="45">
        <v>60</v>
      </c>
      <c r="I26" s="29">
        <f>VLOOKUP(Q26,PROVINCIAS!B$2:$D$70,3,FALSE)</f>
        <v>9</v>
      </c>
      <c r="K26" s="20" t="str">
        <f t="shared" si="1"/>
        <v>F</v>
      </c>
      <c r="Q26" s="45" t="s">
        <v>128</v>
      </c>
      <c r="R26">
        <v>0</v>
      </c>
      <c r="S26">
        <v>0</v>
      </c>
      <c r="U26">
        <f t="shared" si="2"/>
        <v>2</v>
      </c>
    </row>
    <row r="27" spans="1:21" x14ac:dyDescent="0.15">
      <c r="A27" s="44" t="s">
        <v>110</v>
      </c>
      <c r="C27" s="44" t="s">
        <v>111</v>
      </c>
      <c r="D27" t="str">
        <f>VLOOKUP(Q27,PROVINCIAS!B$3:$D$70,2,0)</f>
        <v>08</v>
      </c>
      <c r="E27" s="20" t="s">
        <v>108</v>
      </c>
      <c r="F27">
        <f t="shared" si="0"/>
        <v>80</v>
      </c>
      <c r="G27" s="44">
        <v>25</v>
      </c>
      <c r="I27" s="29">
        <f>VLOOKUP(Q27,PROVINCIAS!B$2:$D$70,3,FALSE)</f>
        <v>9</v>
      </c>
      <c r="K27" s="20" t="str">
        <f t="shared" si="1"/>
        <v>F</v>
      </c>
      <c r="Q27" s="44" t="s">
        <v>128</v>
      </c>
      <c r="R27">
        <v>0</v>
      </c>
      <c r="S27">
        <v>0</v>
      </c>
      <c r="U27">
        <f t="shared" si="2"/>
        <v>2</v>
      </c>
    </row>
    <row r="28" spans="1:21" x14ac:dyDescent="0.15">
      <c r="A28" s="44" t="s">
        <v>110</v>
      </c>
      <c r="C28" s="44" t="s">
        <v>111</v>
      </c>
      <c r="D28" t="str">
        <f>VLOOKUP(Q28,PROVINCIAS!B$3:$D$70,2,0)</f>
        <v>28</v>
      </c>
      <c r="E28" s="20" t="s">
        <v>108</v>
      </c>
      <c r="F28">
        <f t="shared" si="0"/>
        <v>80</v>
      </c>
      <c r="G28" s="45">
        <v>25</v>
      </c>
      <c r="I28" s="29">
        <f>VLOOKUP(Q28,PROVINCIAS!B$2:$D$70,3,FALSE)</f>
        <v>12</v>
      </c>
      <c r="K28" s="20" t="str">
        <f t="shared" si="1"/>
        <v>F</v>
      </c>
      <c r="Q28" s="45" t="s">
        <v>112</v>
      </c>
      <c r="R28">
        <v>0</v>
      </c>
      <c r="S28">
        <v>0</v>
      </c>
      <c r="U28">
        <f t="shared" si="2"/>
        <v>2</v>
      </c>
    </row>
    <row r="29" spans="1:21" x14ac:dyDescent="0.15">
      <c r="A29" s="44" t="s">
        <v>110</v>
      </c>
      <c r="C29" s="44" t="s">
        <v>111</v>
      </c>
      <c r="D29" t="str">
        <f>VLOOKUP(Q29,PROVINCIAS!B$3:$D$70,2,0)</f>
        <v>08</v>
      </c>
      <c r="E29" s="20" t="s">
        <v>108</v>
      </c>
      <c r="F29">
        <f t="shared" si="0"/>
        <v>80</v>
      </c>
      <c r="G29" s="45">
        <v>100</v>
      </c>
      <c r="I29" s="29">
        <f>VLOOKUP(Q29,PROVINCIAS!B$2:$D$70,3,FALSE)</f>
        <v>9</v>
      </c>
      <c r="K29" s="20" t="str">
        <f t="shared" si="1"/>
        <v>F</v>
      </c>
      <c r="Q29" s="45" t="s">
        <v>128</v>
      </c>
      <c r="R29">
        <v>0</v>
      </c>
      <c r="S29">
        <v>0</v>
      </c>
      <c r="U29">
        <f t="shared" si="2"/>
        <v>2</v>
      </c>
    </row>
    <row r="30" spans="1:21" x14ac:dyDescent="0.15">
      <c r="A30" s="44" t="s">
        <v>110</v>
      </c>
      <c r="C30" s="44" t="s">
        <v>111</v>
      </c>
      <c r="D30" t="str">
        <f>VLOOKUP(Q30,PROVINCIAS!B$3:$D$70,2,0)</f>
        <v>28</v>
      </c>
      <c r="E30" s="20" t="s">
        <v>108</v>
      </c>
      <c r="F30">
        <f t="shared" si="0"/>
        <v>80</v>
      </c>
      <c r="G30" s="44">
        <v>25</v>
      </c>
      <c r="I30" s="29">
        <f>VLOOKUP(Q30,PROVINCIAS!B$2:$D$70,3,FALSE)</f>
        <v>12</v>
      </c>
      <c r="K30" s="20" t="str">
        <f t="shared" si="1"/>
        <v>F</v>
      </c>
      <c r="Q30" s="44" t="s">
        <v>112</v>
      </c>
      <c r="R30">
        <v>0</v>
      </c>
      <c r="S30">
        <v>0</v>
      </c>
      <c r="U30">
        <f t="shared" si="2"/>
        <v>2</v>
      </c>
    </row>
    <row r="31" spans="1:21" x14ac:dyDescent="0.15">
      <c r="A31" s="44" t="s">
        <v>110</v>
      </c>
      <c r="C31" s="44" t="s">
        <v>111</v>
      </c>
      <c r="D31" t="str">
        <f>VLOOKUP(Q31,PROVINCIAS!B$3:$D$70,2,0)</f>
        <v>33</v>
      </c>
      <c r="E31" s="20" t="s">
        <v>108</v>
      </c>
      <c r="F31">
        <f t="shared" si="0"/>
        <v>80</v>
      </c>
      <c r="G31" s="45">
        <v>25</v>
      </c>
      <c r="I31" s="29">
        <f>VLOOKUP(Q31,PROVINCIAS!B$2:$D$70,3,FALSE)</f>
        <v>3</v>
      </c>
      <c r="K31" s="20" t="str">
        <f t="shared" si="1"/>
        <v>F</v>
      </c>
      <c r="Q31" s="45" t="s">
        <v>117</v>
      </c>
      <c r="R31">
        <v>0</v>
      </c>
      <c r="S31">
        <v>0</v>
      </c>
      <c r="U31">
        <f t="shared" si="2"/>
        <v>2</v>
      </c>
    </row>
    <row r="32" spans="1:21" x14ac:dyDescent="0.15">
      <c r="A32" s="44" t="s">
        <v>110</v>
      </c>
      <c r="C32" s="44" t="s">
        <v>111</v>
      </c>
      <c r="D32" t="str">
        <f>VLOOKUP(Q32,PROVINCIAS!B$3:$D$70,2,0)</f>
        <v>28</v>
      </c>
      <c r="E32" s="20" t="s">
        <v>108</v>
      </c>
      <c r="F32">
        <f t="shared" si="0"/>
        <v>80</v>
      </c>
      <c r="G32" s="44">
        <v>25</v>
      </c>
      <c r="I32" s="29">
        <f>VLOOKUP(Q32,PROVINCIAS!B$2:$D$70,3,FALSE)</f>
        <v>12</v>
      </c>
      <c r="K32" s="20" t="str">
        <f t="shared" si="1"/>
        <v>F</v>
      </c>
      <c r="Q32" s="44" t="s">
        <v>112</v>
      </c>
      <c r="R32">
        <v>0</v>
      </c>
      <c r="S32">
        <v>0</v>
      </c>
      <c r="U32">
        <f t="shared" si="2"/>
        <v>2</v>
      </c>
    </row>
    <row r="33" spans="1:21" x14ac:dyDescent="0.15">
      <c r="A33" s="44" t="s">
        <v>110</v>
      </c>
      <c r="C33" s="44" t="s">
        <v>111</v>
      </c>
      <c r="D33" t="str">
        <f>VLOOKUP(Q33,PROVINCIAS!B$3:$D$70,2,0)</f>
        <v>18</v>
      </c>
      <c r="E33" s="20" t="s">
        <v>108</v>
      </c>
      <c r="F33">
        <f t="shared" si="0"/>
        <v>80</v>
      </c>
      <c r="G33" s="45">
        <v>25</v>
      </c>
      <c r="I33" s="29">
        <f>VLOOKUP(Q33,PROVINCIAS!B$2:$D$70,3,FALSE)</f>
        <v>1</v>
      </c>
      <c r="K33" s="20" t="str">
        <f t="shared" si="1"/>
        <v>F</v>
      </c>
      <c r="Q33" s="45" t="s">
        <v>129</v>
      </c>
      <c r="R33">
        <v>0</v>
      </c>
      <c r="S33">
        <v>0</v>
      </c>
      <c r="U33">
        <f t="shared" si="2"/>
        <v>2</v>
      </c>
    </row>
    <row r="34" spans="1:21" x14ac:dyDescent="0.15">
      <c r="A34" s="44" t="s">
        <v>110</v>
      </c>
      <c r="C34" s="44" t="s">
        <v>111</v>
      </c>
      <c r="D34" t="str">
        <f>VLOOKUP(Q34,PROVINCIAS!B$3:$D$70,2,0)</f>
        <v>47</v>
      </c>
      <c r="E34" s="20" t="s">
        <v>108</v>
      </c>
      <c r="F34">
        <f t="shared" si="0"/>
        <v>80</v>
      </c>
      <c r="G34" s="44">
        <v>25</v>
      </c>
      <c r="I34" s="29">
        <f>VLOOKUP(Q34,PROVINCIAS!B$2:$D$70,3,FALSE)</f>
        <v>8</v>
      </c>
      <c r="K34" s="20" t="str">
        <f t="shared" si="1"/>
        <v>F</v>
      </c>
      <c r="Q34" s="44" t="s">
        <v>130</v>
      </c>
      <c r="R34">
        <v>0</v>
      </c>
      <c r="S34">
        <v>0</v>
      </c>
      <c r="U34">
        <f t="shared" si="2"/>
        <v>2</v>
      </c>
    </row>
    <row r="35" spans="1:21" x14ac:dyDescent="0.15">
      <c r="A35" s="44" t="s">
        <v>110</v>
      </c>
      <c r="C35" s="44" t="s">
        <v>111</v>
      </c>
      <c r="D35" t="str">
        <f>VLOOKUP(Q35,PROVINCIAS!B$3:$D$70,2,0)</f>
        <v>01</v>
      </c>
      <c r="E35" s="20" t="s">
        <v>108</v>
      </c>
      <c r="F35">
        <f t="shared" si="0"/>
        <v>80</v>
      </c>
      <c r="G35" s="44">
        <v>25</v>
      </c>
      <c r="I35" s="29">
        <f>VLOOKUP(Q35,PROVINCIAS!B$2:$D$70,3,FALSE)</f>
        <v>0</v>
      </c>
      <c r="K35" s="20" t="str">
        <f t="shared" si="1"/>
        <v>F</v>
      </c>
      <c r="Q35" s="44" t="s">
        <v>131</v>
      </c>
      <c r="R35">
        <v>0</v>
      </c>
      <c r="S35">
        <v>0</v>
      </c>
      <c r="U35">
        <f t="shared" si="2"/>
        <v>2</v>
      </c>
    </row>
    <row r="36" spans="1:21" x14ac:dyDescent="0.15">
      <c r="A36" s="44" t="s">
        <v>110</v>
      </c>
      <c r="C36" s="44" t="s">
        <v>111</v>
      </c>
      <c r="D36" t="str">
        <f>VLOOKUP(Q36,PROVINCIAS!B$3:$D$70,2,0)</f>
        <v>46</v>
      </c>
      <c r="E36" s="20" t="s">
        <v>108</v>
      </c>
      <c r="F36">
        <f t="shared" si="0"/>
        <v>80</v>
      </c>
      <c r="G36" s="45">
        <v>25</v>
      </c>
      <c r="I36" s="29">
        <f>VLOOKUP(Q36,PROVINCIAS!B$2:$D$70,3,FALSE)</f>
        <v>17</v>
      </c>
      <c r="K36" s="20" t="str">
        <f t="shared" si="1"/>
        <v>F</v>
      </c>
      <c r="Q36" s="45" t="s">
        <v>120</v>
      </c>
      <c r="R36">
        <v>0</v>
      </c>
      <c r="S36">
        <v>0</v>
      </c>
      <c r="U36">
        <f t="shared" si="2"/>
        <v>2</v>
      </c>
    </row>
    <row r="37" spans="1:21" x14ac:dyDescent="0.15">
      <c r="A37" s="44" t="s">
        <v>110</v>
      </c>
      <c r="C37" s="44" t="s">
        <v>111</v>
      </c>
      <c r="D37" t="str">
        <f>VLOOKUP(Q37,PROVINCIAS!B$3:$D$70,2,0)</f>
        <v>03</v>
      </c>
      <c r="E37" s="20" t="s">
        <v>108</v>
      </c>
      <c r="F37">
        <f t="shared" si="0"/>
        <v>80</v>
      </c>
      <c r="G37" s="44">
        <v>25</v>
      </c>
      <c r="I37" s="29">
        <f>VLOOKUP(Q37,PROVINCIAS!B$2:$D$70,3,FALSE)</f>
        <v>17</v>
      </c>
      <c r="K37" s="20" t="str">
        <f t="shared" si="1"/>
        <v>F</v>
      </c>
      <c r="Q37" s="44" t="s">
        <v>118</v>
      </c>
      <c r="R37">
        <v>0</v>
      </c>
      <c r="S37">
        <v>0</v>
      </c>
      <c r="U37">
        <f t="shared" si="2"/>
        <v>2</v>
      </c>
    </row>
    <row r="38" spans="1:21" x14ac:dyDescent="0.15">
      <c r="A38" s="44" t="s">
        <v>110</v>
      </c>
      <c r="C38" s="44" t="s">
        <v>111</v>
      </c>
      <c r="D38" t="str">
        <f>VLOOKUP(Q38,PROVINCIAS!B$3:$D$70,2,0)</f>
        <v>28</v>
      </c>
      <c r="E38" s="20" t="s">
        <v>108</v>
      </c>
      <c r="F38">
        <f t="shared" si="0"/>
        <v>80</v>
      </c>
      <c r="G38" s="45">
        <v>25</v>
      </c>
      <c r="I38" s="29">
        <f>VLOOKUP(Q38,PROVINCIAS!B$2:$D$70,3,FALSE)</f>
        <v>12</v>
      </c>
      <c r="K38" s="20" t="str">
        <f t="shared" si="1"/>
        <v>F</v>
      </c>
      <c r="Q38" s="45" t="s">
        <v>112</v>
      </c>
      <c r="R38">
        <v>0</v>
      </c>
      <c r="S38">
        <v>0</v>
      </c>
      <c r="U38">
        <f t="shared" si="2"/>
        <v>2</v>
      </c>
    </row>
    <row r="39" spans="1:21" x14ac:dyDescent="0.15">
      <c r="A39" s="44" t="s">
        <v>110</v>
      </c>
      <c r="C39" s="44" t="s">
        <v>111</v>
      </c>
      <c r="D39" t="str">
        <f>VLOOKUP(Q39,PROVINCIAS!B$3:$D$70,2,0)</f>
        <v>50</v>
      </c>
      <c r="E39" s="20" t="s">
        <v>108</v>
      </c>
      <c r="F39">
        <f t="shared" si="0"/>
        <v>80</v>
      </c>
      <c r="G39" s="44">
        <v>30</v>
      </c>
      <c r="I39" s="29">
        <f>VLOOKUP(Q39,PROVINCIAS!B$2:$D$70,3,FALSE)</f>
        <v>2</v>
      </c>
      <c r="K39" s="20" t="str">
        <f t="shared" si="1"/>
        <v>F</v>
      </c>
      <c r="Q39" s="44" t="s">
        <v>109</v>
      </c>
      <c r="R39">
        <v>0</v>
      </c>
      <c r="S39">
        <v>0</v>
      </c>
      <c r="U39">
        <f t="shared" si="2"/>
        <v>2</v>
      </c>
    </row>
    <row r="40" spans="1:21" x14ac:dyDescent="0.15">
      <c r="A40" s="44" t="s">
        <v>110</v>
      </c>
      <c r="C40" s="44" t="s">
        <v>111</v>
      </c>
      <c r="D40" t="str">
        <f>VLOOKUP(Q40,PROVINCIAS!B$3:$D$70,2,0)</f>
        <v>08</v>
      </c>
      <c r="E40" s="20" t="s">
        <v>108</v>
      </c>
      <c r="F40">
        <f t="shared" si="0"/>
        <v>80</v>
      </c>
      <c r="G40" s="44">
        <v>25</v>
      </c>
      <c r="I40" s="29">
        <f>VLOOKUP(Q40,PROVINCIAS!B$2:$D$70,3,FALSE)</f>
        <v>9</v>
      </c>
      <c r="K40" s="20" t="str">
        <f t="shared" si="1"/>
        <v>F</v>
      </c>
      <c r="Q40" s="44" t="s">
        <v>128</v>
      </c>
      <c r="R40">
        <v>0</v>
      </c>
      <c r="S40">
        <v>0</v>
      </c>
      <c r="U40">
        <f t="shared" si="2"/>
        <v>2</v>
      </c>
    </row>
    <row r="41" spans="1:21" x14ac:dyDescent="0.15">
      <c r="A41" s="44" t="s">
        <v>110</v>
      </c>
      <c r="C41" s="44" t="s">
        <v>111</v>
      </c>
      <c r="D41" t="str">
        <f>VLOOKUP(Q41,PROVINCIAS!B$3:$D$70,2,0)</f>
        <v>46</v>
      </c>
      <c r="E41" s="20" t="s">
        <v>108</v>
      </c>
      <c r="F41">
        <f t="shared" si="0"/>
        <v>80</v>
      </c>
      <c r="G41" s="45">
        <v>30</v>
      </c>
      <c r="I41" s="29">
        <f>VLOOKUP(Q41,PROVINCIAS!B$2:$D$70,3,FALSE)</f>
        <v>17</v>
      </c>
      <c r="K41" s="20" t="str">
        <f t="shared" si="1"/>
        <v>F</v>
      </c>
      <c r="Q41" s="45" t="s">
        <v>120</v>
      </c>
      <c r="R41">
        <v>0</v>
      </c>
      <c r="S41">
        <v>0</v>
      </c>
      <c r="U41">
        <f t="shared" si="2"/>
        <v>2</v>
      </c>
    </row>
    <row r="42" spans="1:21" x14ac:dyDescent="0.15">
      <c r="A42" s="44" t="s">
        <v>110</v>
      </c>
      <c r="C42" s="44" t="s">
        <v>111</v>
      </c>
      <c r="D42" t="str">
        <f>VLOOKUP(Q42,PROVINCIAS!B$3:$D$70,2,0)</f>
        <v>24</v>
      </c>
      <c r="E42" s="20" t="s">
        <v>108</v>
      </c>
      <c r="F42">
        <f t="shared" si="0"/>
        <v>80</v>
      </c>
      <c r="G42" s="45">
        <v>25</v>
      </c>
      <c r="I42" s="29">
        <f>VLOOKUP(Q42,PROVINCIAS!B$2:$D$70,3,FALSE)</f>
        <v>8</v>
      </c>
      <c r="K42" s="20" t="str">
        <f t="shared" si="1"/>
        <v>F</v>
      </c>
      <c r="Q42" s="45" t="s">
        <v>132</v>
      </c>
      <c r="R42">
        <v>0</v>
      </c>
      <c r="S42">
        <v>0</v>
      </c>
      <c r="U42">
        <f t="shared" si="2"/>
        <v>2</v>
      </c>
    </row>
    <row r="43" spans="1:21" x14ac:dyDescent="0.15">
      <c r="A43" s="44" t="s">
        <v>110</v>
      </c>
      <c r="C43" s="44" t="s">
        <v>111</v>
      </c>
      <c r="D43" t="str">
        <f>VLOOKUP(Q43,PROVINCIAS!B$3:$D$70,2,0)</f>
        <v>46</v>
      </c>
      <c r="E43" s="20" t="s">
        <v>108</v>
      </c>
      <c r="F43">
        <f t="shared" si="0"/>
        <v>80</v>
      </c>
      <c r="G43" s="44">
        <v>25</v>
      </c>
      <c r="I43" s="29">
        <f>VLOOKUP(Q43,PROVINCIAS!B$2:$D$70,3,FALSE)</f>
        <v>17</v>
      </c>
      <c r="K43" s="20" t="str">
        <f t="shared" si="1"/>
        <v>F</v>
      </c>
      <c r="Q43" s="44" t="s">
        <v>120</v>
      </c>
      <c r="R43">
        <v>0</v>
      </c>
      <c r="S43">
        <v>0</v>
      </c>
      <c r="U43">
        <f t="shared" si="2"/>
        <v>2</v>
      </c>
    </row>
    <row r="44" spans="1:21" x14ac:dyDescent="0.15">
      <c r="A44" s="44" t="s">
        <v>110</v>
      </c>
      <c r="C44" s="44" t="s">
        <v>111</v>
      </c>
      <c r="D44" t="str">
        <f>VLOOKUP(Q44,PROVINCIAS!B$3:$D$70,2,0)</f>
        <v>28</v>
      </c>
      <c r="E44" s="20" t="s">
        <v>108</v>
      </c>
      <c r="F44">
        <f t="shared" si="0"/>
        <v>80</v>
      </c>
      <c r="G44" s="44">
        <v>25</v>
      </c>
      <c r="I44" s="29">
        <f>VLOOKUP(Q44,PROVINCIAS!B$2:$D$70,3,FALSE)</f>
        <v>12</v>
      </c>
      <c r="K44" s="20" t="str">
        <f t="shared" si="1"/>
        <v>F</v>
      </c>
      <c r="Q44" s="44" t="s">
        <v>112</v>
      </c>
      <c r="R44">
        <v>0</v>
      </c>
      <c r="S44">
        <v>0</v>
      </c>
      <c r="U44">
        <f t="shared" si="2"/>
        <v>2</v>
      </c>
    </row>
    <row r="45" spans="1:21" x14ac:dyDescent="0.15">
      <c r="A45" s="44" t="s">
        <v>110</v>
      </c>
      <c r="C45" s="44" t="s">
        <v>111</v>
      </c>
      <c r="D45" t="str">
        <f>VLOOKUP(Q45,PROVINCIAS!B$3:$D$70,2,0)</f>
        <v>28</v>
      </c>
      <c r="E45" s="20" t="s">
        <v>108</v>
      </c>
      <c r="F45">
        <f t="shared" si="0"/>
        <v>80</v>
      </c>
      <c r="G45" s="44">
        <v>25</v>
      </c>
      <c r="I45" s="29">
        <f>VLOOKUP(Q45,PROVINCIAS!B$2:$D$70,3,FALSE)</f>
        <v>12</v>
      </c>
      <c r="K45" s="20" t="str">
        <f t="shared" si="1"/>
        <v>F</v>
      </c>
      <c r="Q45" s="44" t="s">
        <v>112</v>
      </c>
      <c r="R45">
        <v>0</v>
      </c>
      <c r="S45">
        <v>0</v>
      </c>
      <c r="U45">
        <f t="shared" si="2"/>
        <v>2</v>
      </c>
    </row>
    <row r="46" spans="1:21" x14ac:dyDescent="0.15">
      <c r="A46" s="44" t="s">
        <v>110</v>
      </c>
      <c r="C46" s="44" t="s">
        <v>111</v>
      </c>
      <c r="D46" t="str">
        <f>VLOOKUP(Q46,PROVINCIAS!B$3:$D$70,2,0)</f>
        <v>28</v>
      </c>
      <c r="E46" s="20" t="s">
        <v>108</v>
      </c>
      <c r="F46">
        <f t="shared" si="0"/>
        <v>80</v>
      </c>
      <c r="G46" s="45">
        <v>30</v>
      </c>
      <c r="I46" s="29">
        <f>VLOOKUP(Q46,PROVINCIAS!B$2:$D$70,3,FALSE)</f>
        <v>12</v>
      </c>
      <c r="K46" s="20" t="str">
        <f t="shared" si="1"/>
        <v>F</v>
      </c>
      <c r="Q46" s="45" t="s">
        <v>112</v>
      </c>
      <c r="R46">
        <v>0</v>
      </c>
      <c r="S46">
        <v>0</v>
      </c>
      <c r="U46">
        <f t="shared" si="2"/>
        <v>2</v>
      </c>
    </row>
    <row r="47" spans="1:21" x14ac:dyDescent="0.15">
      <c r="A47" s="44" t="s">
        <v>110</v>
      </c>
      <c r="C47" s="44" t="s">
        <v>111</v>
      </c>
      <c r="D47" t="str">
        <f>VLOOKUP(Q47,PROVINCIAS!B$3:$D$70,2,0)</f>
        <v>28</v>
      </c>
      <c r="E47" s="20" t="s">
        <v>108</v>
      </c>
      <c r="F47">
        <f t="shared" si="0"/>
        <v>80</v>
      </c>
      <c r="G47" s="44">
        <v>25</v>
      </c>
      <c r="I47" s="29">
        <f>VLOOKUP(Q47,PROVINCIAS!B$2:$D$70,3,FALSE)</f>
        <v>12</v>
      </c>
      <c r="K47" s="20" t="str">
        <f t="shared" si="1"/>
        <v>F</v>
      </c>
      <c r="Q47" s="44" t="s">
        <v>112</v>
      </c>
      <c r="R47">
        <v>0</v>
      </c>
      <c r="S47">
        <v>0</v>
      </c>
      <c r="U47">
        <f t="shared" si="2"/>
        <v>2</v>
      </c>
    </row>
    <row r="48" spans="1:21" x14ac:dyDescent="0.15">
      <c r="A48" s="44" t="s">
        <v>110</v>
      </c>
      <c r="C48" s="44" t="s">
        <v>111</v>
      </c>
      <c r="D48" t="str">
        <f>VLOOKUP(Q48,PROVINCIAS!B$3:$D$70,2,0)</f>
        <v>11</v>
      </c>
      <c r="E48" s="20" t="s">
        <v>108</v>
      </c>
      <c r="F48">
        <f t="shared" si="0"/>
        <v>80</v>
      </c>
      <c r="G48" s="45">
        <v>25</v>
      </c>
      <c r="I48" s="29">
        <f>VLOOKUP(Q48,PROVINCIAS!B$2:$D$70,3,FALSE)</f>
        <v>1</v>
      </c>
      <c r="K48" s="20" t="str">
        <f t="shared" si="1"/>
        <v>F</v>
      </c>
      <c r="Q48" s="45" t="s">
        <v>133</v>
      </c>
      <c r="R48">
        <v>0</v>
      </c>
      <c r="S48">
        <v>0</v>
      </c>
      <c r="U48">
        <f t="shared" si="2"/>
        <v>2</v>
      </c>
    </row>
    <row r="49" spans="1:21" x14ac:dyDescent="0.15">
      <c r="A49" s="44" t="s">
        <v>110</v>
      </c>
      <c r="C49" s="44" t="s">
        <v>111</v>
      </c>
      <c r="D49" t="str">
        <f>VLOOKUP(Q49,PROVINCIAS!B$3:$D$70,2,0)</f>
        <v>28</v>
      </c>
      <c r="E49" s="20" t="s">
        <v>108</v>
      </c>
      <c r="F49">
        <f t="shared" si="0"/>
        <v>80</v>
      </c>
      <c r="G49" s="44">
        <v>25</v>
      </c>
      <c r="I49" s="29">
        <f>VLOOKUP(Q49,PROVINCIAS!B$2:$D$70,3,FALSE)</f>
        <v>12</v>
      </c>
      <c r="K49" s="20" t="str">
        <f t="shared" si="1"/>
        <v>F</v>
      </c>
      <c r="Q49" s="44" t="s">
        <v>112</v>
      </c>
      <c r="R49">
        <v>0</v>
      </c>
      <c r="S49">
        <v>0</v>
      </c>
      <c r="U49">
        <f t="shared" si="2"/>
        <v>2</v>
      </c>
    </row>
    <row r="50" spans="1:21" x14ac:dyDescent="0.15">
      <c r="A50" s="44" t="s">
        <v>110</v>
      </c>
      <c r="C50" s="44" t="s">
        <v>111</v>
      </c>
      <c r="D50" t="str">
        <f>VLOOKUP(Q50,PROVINCIAS!B$3:$D$70,2,0)</f>
        <v>28</v>
      </c>
      <c r="E50" s="20" t="s">
        <v>108</v>
      </c>
      <c r="F50">
        <f t="shared" si="0"/>
        <v>80</v>
      </c>
      <c r="G50" s="44">
        <v>25</v>
      </c>
      <c r="I50" s="29">
        <f>VLOOKUP(Q50,PROVINCIAS!B$2:$D$70,3,FALSE)</f>
        <v>12</v>
      </c>
      <c r="K50" s="20" t="str">
        <f t="shared" si="1"/>
        <v>F</v>
      </c>
      <c r="Q50" s="44" t="s">
        <v>112</v>
      </c>
      <c r="R50">
        <v>0</v>
      </c>
      <c r="S50">
        <v>0</v>
      </c>
      <c r="U50">
        <f t="shared" si="2"/>
        <v>2</v>
      </c>
    </row>
    <row r="51" spans="1:21" x14ac:dyDescent="0.15">
      <c r="A51" s="44" t="s">
        <v>110</v>
      </c>
      <c r="C51" s="44" t="s">
        <v>111</v>
      </c>
      <c r="D51" t="str">
        <f>VLOOKUP(Q51,PROVINCIAS!B$3:$D$70,2,0)</f>
        <v>03</v>
      </c>
      <c r="E51" s="20" t="s">
        <v>108</v>
      </c>
      <c r="F51">
        <f t="shared" si="0"/>
        <v>80</v>
      </c>
      <c r="G51" s="45">
        <v>25</v>
      </c>
      <c r="I51" s="29">
        <f>VLOOKUP(Q51,PROVINCIAS!B$2:$D$70,3,FALSE)</f>
        <v>17</v>
      </c>
      <c r="K51" s="20" t="str">
        <f t="shared" si="1"/>
        <v>F</v>
      </c>
      <c r="Q51" s="45" t="s">
        <v>118</v>
      </c>
      <c r="R51">
        <v>0</v>
      </c>
      <c r="S51">
        <v>0</v>
      </c>
      <c r="U51">
        <f t="shared" si="2"/>
        <v>2</v>
      </c>
    </row>
    <row r="52" spans="1:21" x14ac:dyDescent="0.15">
      <c r="A52" s="44" t="s">
        <v>110</v>
      </c>
      <c r="C52" s="44" t="s">
        <v>111</v>
      </c>
      <c r="D52" t="str">
        <f>VLOOKUP(Q52,PROVINCIAS!B$3:$D$70,2,0)</f>
        <v>28</v>
      </c>
      <c r="E52" s="20" t="s">
        <v>108</v>
      </c>
      <c r="F52">
        <f t="shared" si="0"/>
        <v>80</v>
      </c>
      <c r="G52" s="44">
        <v>25</v>
      </c>
      <c r="I52" s="29">
        <f>VLOOKUP(Q52,PROVINCIAS!B$2:$D$70,3,FALSE)</f>
        <v>12</v>
      </c>
      <c r="K52" s="20" t="str">
        <f t="shared" si="1"/>
        <v>F</v>
      </c>
      <c r="Q52" s="44" t="s">
        <v>112</v>
      </c>
      <c r="R52">
        <v>0</v>
      </c>
      <c r="S52">
        <v>0</v>
      </c>
      <c r="U52">
        <f t="shared" si="2"/>
        <v>2</v>
      </c>
    </row>
    <row r="53" spans="1:21" x14ac:dyDescent="0.15">
      <c r="A53" s="44" t="s">
        <v>110</v>
      </c>
      <c r="C53" s="44" t="s">
        <v>111</v>
      </c>
      <c r="D53" t="str">
        <f>VLOOKUP(Q53,PROVINCIAS!B$3:$D$70,2,0)</f>
        <v>37</v>
      </c>
      <c r="E53" s="20" t="s">
        <v>108</v>
      </c>
      <c r="F53">
        <f t="shared" si="0"/>
        <v>80</v>
      </c>
      <c r="G53" s="45">
        <v>25</v>
      </c>
      <c r="I53" s="29">
        <f>VLOOKUP(Q53,PROVINCIAS!B$2:$D$70,3,FALSE)</f>
        <v>8</v>
      </c>
      <c r="K53" s="20" t="str">
        <f t="shared" si="1"/>
        <v>F</v>
      </c>
      <c r="Q53" s="45" t="s">
        <v>134</v>
      </c>
      <c r="R53">
        <v>0</v>
      </c>
      <c r="S53">
        <v>0</v>
      </c>
      <c r="U53">
        <f t="shared" si="2"/>
        <v>2</v>
      </c>
    </row>
    <row r="54" spans="1:21" x14ac:dyDescent="0.15">
      <c r="A54" s="44" t="s">
        <v>110</v>
      </c>
      <c r="C54" s="44" t="s">
        <v>111</v>
      </c>
      <c r="D54" t="str">
        <f>VLOOKUP(Q54,PROVINCIAS!B$3:$D$70,2,0)</f>
        <v>33</v>
      </c>
      <c r="E54" s="20" t="s">
        <v>108</v>
      </c>
      <c r="F54">
        <f t="shared" si="0"/>
        <v>80</v>
      </c>
      <c r="G54" s="45">
        <v>60</v>
      </c>
      <c r="I54" s="29">
        <f>VLOOKUP(Q54,PROVINCIAS!B$2:$D$70,3,FALSE)</f>
        <v>3</v>
      </c>
      <c r="K54" s="20" t="str">
        <f t="shared" si="1"/>
        <v>F</v>
      </c>
      <c r="Q54" s="45" t="s">
        <v>117</v>
      </c>
      <c r="R54">
        <v>0</v>
      </c>
      <c r="S54">
        <v>0</v>
      </c>
      <c r="U54">
        <f t="shared" si="2"/>
        <v>2</v>
      </c>
    </row>
    <row r="55" spans="1:21" x14ac:dyDescent="0.15">
      <c r="A55" s="44" t="s">
        <v>110</v>
      </c>
      <c r="C55" s="44" t="s">
        <v>111</v>
      </c>
      <c r="D55" t="str">
        <f>VLOOKUP(Q55,PROVINCIAS!B$3:$D$70,2,0)</f>
        <v>28</v>
      </c>
      <c r="E55" s="20" t="s">
        <v>108</v>
      </c>
      <c r="F55">
        <f t="shared" si="0"/>
        <v>80</v>
      </c>
      <c r="G55" s="45">
        <v>40</v>
      </c>
      <c r="I55" s="29">
        <f>VLOOKUP(Q55,PROVINCIAS!B$2:$D$70,3,FALSE)</f>
        <v>12</v>
      </c>
      <c r="K55" s="20" t="str">
        <f t="shared" si="1"/>
        <v>F</v>
      </c>
      <c r="Q55" s="45" t="s">
        <v>112</v>
      </c>
      <c r="R55">
        <v>0</v>
      </c>
      <c r="S55">
        <v>0</v>
      </c>
      <c r="U55">
        <f t="shared" si="2"/>
        <v>2</v>
      </c>
    </row>
    <row r="56" spans="1:21" x14ac:dyDescent="0.15">
      <c r="A56" s="44" t="s">
        <v>110</v>
      </c>
      <c r="C56" s="44" t="s">
        <v>111</v>
      </c>
      <c r="D56" t="str">
        <f>VLOOKUP(Q56,PROVINCIAS!B$3:$D$70,2,0)</f>
        <v>33</v>
      </c>
      <c r="E56" s="20" t="s">
        <v>108</v>
      </c>
      <c r="F56">
        <f t="shared" si="0"/>
        <v>80</v>
      </c>
      <c r="G56" s="44">
        <v>25</v>
      </c>
      <c r="I56" s="29">
        <f>VLOOKUP(Q56,PROVINCIAS!B$2:$D$70,3,FALSE)</f>
        <v>3</v>
      </c>
      <c r="K56" s="20" t="str">
        <f t="shared" si="1"/>
        <v>F</v>
      </c>
      <c r="Q56" s="44" t="s">
        <v>117</v>
      </c>
      <c r="R56">
        <v>0</v>
      </c>
      <c r="S56">
        <v>0</v>
      </c>
      <c r="U56">
        <f t="shared" si="2"/>
        <v>2</v>
      </c>
    </row>
    <row r="57" spans="1:21" x14ac:dyDescent="0.15">
      <c r="A57" s="44" t="s">
        <v>110</v>
      </c>
      <c r="C57" s="44" t="s">
        <v>111</v>
      </c>
      <c r="D57" t="str">
        <f>VLOOKUP(Q57,PROVINCIAS!B$3:$D$70,2,0)</f>
        <v>43</v>
      </c>
      <c r="E57" s="20" t="s">
        <v>108</v>
      </c>
      <c r="F57">
        <f t="shared" si="0"/>
        <v>80</v>
      </c>
      <c r="G57" s="44">
        <v>25</v>
      </c>
      <c r="I57" s="29">
        <f>VLOOKUP(Q57,PROVINCIAS!B$2:$D$70,3,FALSE)</f>
        <v>9</v>
      </c>
      <c r="K57" s="20" t="str">
        <f t="shared" si="1"/>
        <v>F</v>
      </c>
      <c r="Q57" s="44" t="s">
        <v>135</v>
      </c>
      <c r="R57">
        <v>0</v>
      </c>
      <c r="S57">
        <v>0</v>
      </c>
      <c r="U57">
        <f t="shared" si="2"/>
        <v>2</v>
      </c>
    </row>
    <row r="58" spans="1:21" x14ac:dyDescent="0.15">
      <c r="A58" s="44" t="s">
        <v>110</v>
      </c>
      <c r="C58" s="44" t="s">
        <v>111</v>
      </c>
      <c r="D58" t="str">
        <f>VLOOKUP(Q58,PROVINCIAS!B$3:$D$70,2,0)</f>
        <v>09</v>
      </c>
      <c r="E58" s="20" t="s">
        <v>108</v>
      </c>
      <c r="F58">
        <f t="shared" si="0"/>
        <v>80</v>
      </c>
      <c r="G58" s="44">
        <v>25</v>
      </c>
      <c r="I58" s="29">
        <f>VLOOKUP(Q58,PROVINCIAS!B$2:$D$70,3,FALSE)</f>
        <v>8</v>
      </c>
      <c r="K58" s="20" t="str">
        <f t="shared" si="1"/>
        <v>F</v>
      </c>
      <c r="Q58" s="44" t="s">
        <v>127</v>
      </c>
      <c r="R58">
        <v>0</v>
      </c>
      <c r="S58">
        <v>0</v>
      </c>
      <c r="U58">
        <f t="shared" si="2"/>
        <v>2</v>
      </c>
    </row>
    <row r="59" spans="1:21" x14ac:dyDescent="0.15">
      <c r="A59" s="44" t="s">
        <v>110</v>
      </c>
      <c r="C59" s="44" t="s">
        <v>111</v>
      </c>
      <c r="D59" t="str">
        <f>VLOOKUP(Q59,PROVINCIAS!B$3:$D$70,2,0)</f>
        <v>03</v>
      </c>
      <c r="E59" s="20" t="s">
        <v>108</v>
      </c>
      <c r="F59">
        <f t="shared" si="0"/>
        <v>80</v>
      </c>
      <c r="G59" s="45">
        <v>60</v>
      </c>
      <c r="I59" s="29">
        <f>VLOOKUP(Q59,PROVINCIAS!B$2:$D$70,3,FALSE)</f>
        <v>17</v>
      </c>
      <c r="K59" s="20" t="str">
        <f t="shared" si="1"/>
        <v>F</v>
      </c>
      <c r="Q59" s="45" t="s">
        <v>118</v>
      </c>
      <c r="R59">
        <v>0</v>
      </c>
      <c r="S59">
        <v>0</v>
      </c>
      <c r="U59">
        <f t="shared" si="2"/>
        <v>2</v>
      </c>
    </row>
    <row r="60" spans="1:21" x14ac:dyDescent="0.15">
      <c r="A60" s="44" t="s">
        <v>110</v>
      </c>
      <c r="C60" s="44" t="s">
        <v>111</v>
      </c>
      <c r="D60" t="str">
        <f>VLOOKUP(Q60,PROVINCIAS!B$3:$D$70,2,0)</f>
        <v>28</v>
      </c>
      <c r="E60" s="20" t="s">
        <v>108</v>
      </c>
      <c r="F60">
        <f t="shared" si="0"/>
        <v>80</v>
      </c>
      <c r="G60" s="45">
        <v>50</v>
      </c>
      <c r="I60" s="29">
        <f>VLOOKUP(Q60,PROVINCIAS!B$2:$D$70,3,FALSE)</f>
        <v>12</v>
      </c>
      <c r="K60" s="20" t="str">
        <f t="shared" si="1"/>
        <v>F</v>
      </c>
      <c r="Q60" s="45" t="s">
        <v>112</v>
      </c>
      <c r="R60">
        <v>0</v>
      </c>
      <c r="S60">
        <v>0</v>
      </c>
      <c r="U60">
        <f t="shared" si="2"/>
        <v>2</v>
      </c>
    </row>
    <row r="61" spans="1:21" x14ac:dyDescent="0.15">
      <c r="A61" s="44" t="s">
        <v>110</v>
      </c>
      <c r="C61" s="44" t="s">
        <v>111</v>
      </c>
      <c r="D61" t="str">
        <f>VLOOKUP(Q61,PROVINCIAS!B$3:$D$70,2,0)</f>
        <v>03</v>
      </c>
      <c r="E61" s="20" t="s">
        <v>108</v>
      </c>
      <c r="F61">
        <f t="shared" si="0"/>
        <v>80</v>
      </c>
      <c r="G61" s="45">
        <v>25</v>
      </c>
      <c r="I61" s="29">
        <f>VLOOKUP(Q61,PROVINCIAS!B$2:$D$70,3,FALSE)</f>
        <v>17</v>
      </c>
      <c r="K61" s="20" t="str">
        <f t="shared" si="1"/>
        <v>F</v>
      </c>
      <c r="Q61" s="45" t="s">
        <v>118</v>
      </c>
      <c r="R61">
        <v>0</v>
      </c>
      <c r="S61">
        <v>0</v>
      </c>
      <c r="U61">
        <f t="shared" si="2"/>
        <v>2</v>
      </c>
    </row>
    <row r="62" spans="1:21" x14ac:dyDescent="0.15">
      <c r="A62" s="44" t="s">
        <v>110</v>
      </c>
      <c r="C62" s="44" t="s">
        <v>111</v>
      </c>
      <c r="D62" t="str">
        <f>VLOOKUP(Q62,PROVINCIAS!B$3:$D$70,2,0)</f>
        <v>22</v>
      </c>
      <c r="E62" s="20" t="s">
        <v>108</v>
      </c>
      <c r="F62">
        <f t="shared" si="0"/>
        <v>80</v>
      </c>
      <c r="G62" s="44">
        <v>25</v>
      </c>
      <c r="I62" s="29">
        <f>VLOOKUP(Q62,PROVINCIAS!B$2:$D$70,3,FALSE)</f>
        <v>2</v>
      </c>
      <c r="K62" s="20" t="str">
        <f t="shared" si="1"/>
        <v>F</v>
      </c>
      <c r="Q62" s="44" t="s">
        <v>136</v>
      </c>
      <c r="R62">
        <v>0</v>
      </c>
      <c r="S62">
        <v>0</v>
      </c>
      <c r="U62">
        <f t="shared" si="2"/>
        <v>2</v>
      </c>
    </row>
    <row r="63" spans="1:21" x14ac:dyDescent="0.15">
      <c r="A63" s="44" t="s">
        <v>110</v>
      </c>
      <c r="C63" s="44" t="s">
        <v>111</v>
      </c>
      <c r="D63" t="str">
        <f>VLOOKUP(Q63,PROVINCIAS!B$3:$D$70,2,0)</f>
        <v>14</v>
      </c>
      <c r="E63" s="20" t="s">
        <v>108</v>
      </c>
      <c r="F63">
        <f t="shared" si="0"/>
        <v>80</v>
      </c>
      <c r="G63" s="45">
        <v>25</v>
      </c>
      <c r="I63" s="29">
        <f>VLOOKUP(Q63,PROVINCIAS!B$2:$D$70,3,FALSE)</f>
        <v>1</v>
      </c>
      <c r="K63" s="20" t="str">
        <f t="shared" si="1"/>
        <v>F</v>
      </c>
      <c r="Q63" s="45" t="s">
        <v>137</v>
      </c>
      <c r="R63">
        <v>0</v>
      </c>
      <c r="S63">
        <v>0</v>
      </c>
      <c r="U63">
        <f t="shared" si="2"/>
        <v>2</v>
      </c>
    </row>
    <row r="64" spans="1:21" x14ac:dyDescent="0.15">
      <c r="A64" s="44" t="s">
        <v>110</v>
      </c>
      <c r="C64" s="44" t="s">
        <v>111</v>
      </c>
      <c r="D64" t="str">
        <f>VLOOKUP(Q64,PROVINCIAS!B$3:$D$70,2,0)</f>
        <v>28</v>
      </c>
      <c r="E64" s="20" t="s">
        <v>108</v>
      </c>
      <c r="F64">
        <f t="shared" si="0"/>
        <v>80</v>
      </c>
      <c r="G64" s="45">
        <v>25</v>
      </c>
      <c r="I64" s="29">
        <f>VLOOKUP(Q64,PROVINCIAS!B$2:$D$70,3,FALSE)</f>
        <v>12</v>
      </c>
      <c r="K64" s="20" t="str">
        <f t="shared" si="1"/>
        <v>F</v>
      </c>
      <c r="Q64" s="45" t="s">
        <v>112</v>
      </c>
      <c r="R64">
        <v>0</v>
      </c>
      <c r="S64">
        <v>0</v>
      </c>
      <c r="U64">
        <f t="shared" si="2"/>
        <v>2</v>
      </c>
    </row>
    <row r="65" spans="1:21" x14ac:dyDescent="0.15">
      <c r="A65" s="44" t="s">
        <v>110</v>
      </c>
      <c r="C65" s="44" t="s">
        <v>111</v>
      </c>
      <c r="D65" t="str">
        <f>VLOOKUP(Q65,PROVINCIAS!B$3:$D$70,2,0)</f>
        <v>28</v>
      </c>
      <c r="E65" s="20" t="s">
        <v>108</v>
      </c>
      <c r="F65">
        <f t="shared" si="0"/>
        <v>80</v>
      </c>
      <c r="G65" s="45">
        <v>25</v>
      </c>
      <c r="I65" s="29">
        <f>VLOOKUP(Q65,PROVINCIAS!B$2:$D$70,3,FALSE)</f>
        <v>12</v>
      </c>
      <c r="K65" s="20" t="str">
        <f t="shared" si="1"/>
        <v>F</v>
      </c>
      <c r="Q65" s="45" t="s">
        <v>112</v>
      </c>
      <c r="R65">
        <v>0</v>
      </c>
      <c r="S65">
        <v>0</v>
      </c>
      <c r="U65">
        <f t="shared" si="2"/>
        <v>2</v>
      </c>
    </row>
    <row r="66" spans="1:21" x14ac:dyDescent="0.15">
      <c r="A66" s="44" t="s">
        <v>110</v>
      </c>
      <c r="C66" s="44" t="s">
        <v>111</v>
      </c>
      <c r="D66" t="str">
        <f>VLOOKUP(Q66,PROVINCIAS!B$3:$D$70,2,0)</f>
        <v>33</v>
      </c>
      <c r="E66" s="20" t="s">
        <v>108</v>
      </c>
      <c r="F66">
        <f t="shared" si="0"/>
        <v>80</v>
      </c>
      <c r="G66" s="44">
        <v>25</v>
      </c>
      <c r="I66" s="29">
        <f>VLOOKUP(Q66,PROVINCIAS!B$2:$D$70,3,FALSE)</f>
        <v>3</v>
      </c>
      <c r="K66" s="20" t="str">
        <f t="shared" si="1"/>
        <v>F</v>
      </c>
      <c r="Q66" s="44" t="s">
        <v>117</v>
      </c>
      <c r="R66">
        <v>0</v>
      </c>
      <c r="S66">
        <v>0</v>
      </c>
      <c r="U66">
        <f t="shared" si="2"/>
        <v>2</v>
      </c>
    </row>
    <row r="67" spans="1:21" x14ac:dyDescent="0.15">
      <c r="A67" s="44" t="s">
        <v>110</v>
      </c>
      <c r="C67" s="44" t="s">
        <v>111</v>
      </c>
      <c r="D67" t="str">
        <f>VLOOKUP(Q67,PROVINCIAS!B$3:$D$70,2,0)</f>
        <v>50</v>
      </c>
      <c r="E67" s="20" t="s">
        <v>108</v>
      </c>
      <c r="F67">
        <f t="shared" ref="F67:F130" si="3">GetDeduccion2016(G67,U67,K67)</f>
        <v>80</v>
      </c>
      <c r="G67" s="45">
        <v>25</v>
      </c>
      <c r="I67" s="29">
        <f>VLOOKUP(Q67,PROVINCIAS!B$2:$D$70,3,FALSE)</f>
        <v>2</v>
      </c>
      <c r="K67" s="20" t="str">
        <f t="shared" ref="K67:K130" si="4">GetNaturaleza(A67)</f>
        <v>F</v>
      </c>
      <c r="Q67" s="45" t="s">
        <v>109</v>
      </c>
      <c r="R67">
        <v>0</v>
      </c>
      <c r="S67">
        <v>0</v>
      </c>
      <c r="U67">
        <f t="shared" ref="U67:U130" si="5">GetRecurrente(G67,R67,S67,T67)</f>
        <v>2</v>
      </c>
    </row>
    <row r="68" spans="1:21" x14ac:dyDescent="0.15">
      <c r="A68" s="44" t="s">
        <v>110</v>
      </c>
      <c r="C68" s="44" t="s">
        <v>111</v>
      </c>
      <c r="D68" t="str">
        <f>VLOOKUP(Q68,PROVINCIAS!B$3:$D$70,2,0)</f>
        <v>44</v>
      </c>
      <c r="E68" s="20" t="s">
        <v>108</v>
      </c>
      <c r="F68">
        <f t="shared" si="3"/>
        <v>80</v>
      </c>
      <c r="G68" s="44">
        <v>25</v>
      </c>
      <c r="I68" s="29">
        <f>VLOOKUP(Q68,PROVINCIAS!B$2:$D$70,3,FALSE)</f>
        <v>2</v>
      </c>
      <c r="K68" s="20" t="str">
        <f t="shared" si="4"/>
        <v>F</v>
      </c>
      <c r="Q68" s="44" t="s">
        <v>126</v>
      </c>
      <c r="R68">
        <v>0</v>
      </c>
      <c r="S68">
        <v>0</v>
      </c>
      <c r="U68">
        <f t="shared" si="5"/>
        <v>2</v>
      </c>
    </row>
    <row r="69" spans="1:21" x14ac:dyDescent="0.15">
      <c r="A69" s="44" t="s">
        <v>110</v>
      </c>
      <c r="C69" s="44" t="s">
        <v>111</v>
      </c>
      <c r="D69" t="str">
        <f>VLOOKUP(Q69,PROVINCIAS!B$3:$D$70,2,0)</f>
        <v>11</v>
      </c>
      <c r="E69" s="20" t="s">
        <v>108</v>
      </c>
      <c r="F69">
        <f t="shared" si="3"/>
        <v>80</v>
      </c>
      <c r="G69" s="44">
        <v>35</v>
      </c>
      <c r="I69" s="29">
        <f>VLOOKUP(Q69,PROVINCIAS!B$2:$D$70,3,FALSE)</f>
        <v>1</v>
      </c>
      <c r="K69" s="20" t="str">
        <f t="shared" si="4"/>
        <v>F</v>
      </c>
      <c r="Q69" s="44" t="s">
        <v>133</v>
      </c>
      <c r="R69">
        <v>0</v>
      </c>
      <c r="S69">
        <v>0</v>
      </c>
      <c r="U69">
        <f t="shared" si="5"/>
        <v>2</v>
      </c>
    </row>
    <row r="70" spans="1:21" x14ac:dyDescent="0.15">
      <c r="A70" s="44" t="s">
        <v>110</v>
      </c>
      <c r="C70" s="44" t="s">
        <v>111</v>
      </c>
      <c r="D70" t="str">
        <f>VLOOKUP(Q70,PROVINCIAS!B$3:$D$70,2,0)</f>
        <v>03</v>
      </c>
      <c r="E70" s="20" t="s">
        <v>108</v>
      </c>
      <c r="F70">
        <f t="shared" si="3"/>
        <v>80</v>
      </c>
      <c r="G70" s="45">
        <v>60</v>
      </c>
      <c r="I70" s="29">
        <f>VLOOKUP(Q70,PROVINCIAS!B$2:$D$70,3,FALSE)</f>
        <v>17</v>
      </c>
      <c r="K70" s="20" t="str">
        <f t="shared" si="4"/>
        <v>F</v>
      </c>
      <c r="Q70" s="45" t="s">
        <v>118</v>
      </c>
      <c r="R70">
        <v>0</v>
      </c>
      <c r="S70">
        <v>0</v>
      </c>
      <c r="U70">
        <f t="shared" si="5"/>
        <v>2</v>
      </c>
    </row>
    <row r="71" spans="1:21" x14ac:dyDescent="0.15">
      <c r="A71" s="44" t="s">
        <v>110</v>
      </c>
      <c r="C71" s="44" t="s">
        <v>111</v>
      </c>
      <c r="D71" t="str">
        <f>VLOOKUP(Q71,PROVINCIAS!B$3:$D$70,2,0)</f>
        <v>08</v>
      </c>
      <c r="E71" s="20" t="s">
        <v>108</v>
      </c>
      <c r="F71">
        <f t="shared" si="3"/>
        <v>80</v>
      </c>
      <c r="G71" s="44">
        <v>25</v>
      </c>
      <c r="I71" s="29">
        <f>VLOOKUP(Q71,PROVINCIAS!B$2:$D$70,3,FALSE)</f>
        <v>9</v>
      </c>
      <c r="K71" s="20" t="str">
        <f t="shared" si="4"/>
        <v>F</v>
      </c>
      <c r="Q71" s="44" t="s">
        <v>128</v>
      </c>
      <c r="R71">
        <v>0</v>
      </c>
      <c r="S71">
        <v>0</v>
      </c>
      <c r="U71">
        <f t="shared" si="5"/>
        <v>2</v>
      </c>
    </row>
    <row r="72" spans="1:21" x14ac:dyDescent="0.15">
      <c r="A72" s="44" t="s">
        <v>110</v>
      </c>
      <c r="C72" s="44" t="s">
        <v>111</v>
      </c>
      <c r="D72" t="str">
        <f>VLOOKUP(Q72,PROVINCIAS!B$3:$D$70,2,0)</f>
        <v>03</v>
      </c>
      <c r="E72" s="20" t="s">
        <v>108</v>
      </c>
      <c r="F72">
        <f t="shared" si="3"/>
        <v>80</v>
      </c>
      <c r="G72" s="45">
        <v>40</v>
      </c>
      <c r="I72" s="29">
        <f>VLOOKUP(Q72,PROVINCIAS!B$2:$D$70,3,FALSE)</f>
        <v>17</v>
      </c>
      <c r="K72" s="20" t="str">
        <f t="shared" si="4"/>
        <v>F</v>
      </c>
      <c r="Q72" s="45" t="s">
        <v>118</v>
      </c>
      <c r="R72">
        <v>0</v>
      </c>
      <c r="S72">
        <v>0</v>
      </c>
      <c r="U72">
        <f t="shared" si="5"/>
        <v>2</v>
      </c>
    </row>
    <row r="73" spans="1:21" x14ac:dyDescent="0.15">
      <c r="A73" s="44" t="s">
        <v>110</v>
      </c>
      <c r="C73" s="44" t="s">
        <v>111</v>
      </c>
      <c r="D73" t="str">
        <f>VLOOKUP(Q73,PROVINCIAS!B$3:$D$70,2,0)</f>
        <v>33</v>
      </c>
      <c r="E73" s="20" t="s">
        <v>108</v>
      </c>
      <c r="F73">
        <f t="shared" si="3"/>
        <v>80</v>
      </c>
      <c r="G73" s="45">
        <v>25</v>
      </c>
      <c r="I73" s="29">
        <f>VLOOKUP(Q73,PROVINCIAS!B$2:$D$70,3,FALSE)</f>
        <v>3</v>
      </c>
      <c r="K73" s="20" t="str">
        <f t="shared" si="4"/>
        <v>F</v>
      </c>
      <c r="Q73" s="45" t="s">
        <v>117</v>
      </c>
      <c r="R73">
        <v>0</v>
      </c>
      <c r="S73">
        <v>0</v>
      </c>
      <c r="U73">
        <f t="shared" si="5"/>
        <v>2</v>
      </c>
    </row>
    <row r="74" spans="1:21" x14ac:dyDescent="0.15">
      <c r="A74" s="44" t="s">
        <v>110</v>
      </c>
      <c r="C74" s="44" t="s">
        <v>111</v>
      </c>
      <c r="D74" t="str">
        <f>VLOOKUP(Q74,PROVINCIAS!B$3:$D$70,2,0)</f>
        <v>39</v>
      </c>
      <c r="E74" s="20" t="s">
        <v>108</v>
      </c>
      <c r="F74">
        <f t="shared" si="3"/>
        <v>80</v>
      </c>
      <c r="G74" s="44">
        <v>60</v>
      </c>
      <c r="I74" s="29">
        <f>VLOOKUP(Q74,PROVINCIAS!B$2:$D$70,3,FALSE)</f>
        <v>6</v>
      </c>
      <c r="K74" s="20" t="str">
        <f t="shared" si="4"/>
        <v>F</v>
      </c>
      <c r="Q74" s="44" t="s">
        <v>138</v>
      </c>
      <c r="R74">
        <v>0</v>
      </c>
      <c r="S74">
        <v>0</v>
      </c>
      <c r="U74">
        <f t="shared" si="5"/>
        <v>2</v>
      </c>
    </row>
    <row r="75" spans="1:21" x14ac:dyDescent="0.15">
      <c r="A75" s="44" t="s">
        <v>110</v>
      </c>
      <c r="C75" s="44" t="s">
        <v>111</v>
      </c>
      <c r="D75" t="str">
        <f>VLOOKUP(Q75,PROVINCIAS!B$3:$D$70,2,0)</f>
        <v>43</v>
      </c>
      <c r="E75" s="20" t="s">
        <v>108</v>
      </c>
      <c r="F75">
        <f t="shared" si="3"/>
        <v>80</v>
      </c>
      <c r="G75" s="45">
        <v>30</v>
      </c>
      <c r="I75" s="29">
        <f>VLOOKUP(Q75,PROVINCIAS!B$2:$D$70,3,FALSE)</f>
        <v>9</v>
      </c>
      <c r="K75" s="20" t="str">
        <f t="shared" si="4"/>
        <v>F</v>
      </c>
      <c r="Q75" s="45" t="s">
        <v>135</v>
      </c>
      <c r="R75">
        <v>0</v>
      </c>
      <c r="S75">
        <v>0</v>
      </c>
      <c r="U75">
        <f t="shared" si="5"/>
        <v>2</v>
      </c>
    </row>
    <row r="76" spans="1:21" x14ac:dyDescent="0.15">
      <c r="A76" s="44" t="s">
        <v>110</v>
      </c>
      <c r="C76" s="44" t="s">
        <v>111</v>
      </c>
      <c r="D76" t="str">
        <f>VLOOKUP(Q76,PROVINCIAS!B$3:$D$70,2,0)</f>
        <v>31</v>
      </c>
      <c r="E76" s="20" t="s">
        <v>108</v>
      </c>
      <c r="F76">
        <f t="shared" si="3"/>
        <v>80</v>
      </c>
      <c r="G76" s="44">
        <v>30</v>
      </c>
      <c r="I76" s="29">
        <f>VLOOKUP(Q76,PROVINCIAS!B$2:$D$70,3,FALSE)</f>
        <v>0</v>
      </c>
      <c r="K76" s="20" t="str">
        <f t="shared" si="4"/>
        <v>F</v>
      </c>
      <c r="Q76" s="44" t="s">
        <v>119</v>
      </c>
      <c r="R76">
        <v>0</v>
      </c>
      <c r="S76">
        <v>0</v>
      </c>
      <c r="U76">
        <f t="shared" si="5"/>
        <v>2</v>
      </c>
    </row>
    <row r="77" spans="1:21" x14ac:dyDescent="0.15">
      <c r="A77" s="44" t="s">
        <v>110</v>
      </c>
      <c r="C77" s="44" t="s">
        <v>111</v>
      </c>
      <c r="D77" t="str">
        <f>VLOOKUP(Q77,PROVINCIAS!B$3:$D$70,2,0)</f>
        <v>08</v>
      </c>
      <c r="E77" s="20" t="s">
        <v>108</v>
      </c>
      <c r="F77">
        <f t="shared" si="3"/>
        <v>80</v>
      </c>
      <c r="G77" s="45">
        <v>25</v>
      </c>
      <c r="I77" s="29">
        <f>VLOOKUP(Q77,PROVINCIAS!B$2:$D$70,3,FALSE)</f>
        <v>9</v>
      </c>
      <c r="K77" s="20" t="str">
        <f t="shared" si="4"/>
        <v>F</v>
      </c>
      <c r="Q77" s="45" t="s">
        <v>128</v>
      </c>
      <c r="R77">
        <v>0</v>
      </c>
      <c r="S77">
        <v>0</v>
      </c>
      <c r="U77">
        <f t="shared" si="5"/>
        <v>2</v>
      </c>
    </row>
    <row r="78" spans="1:21" x14ac:dyDescent="0.15">
      <c r="A78" s="44" t="s">
        <v>110</v>
      </c>
      <c r="C78" s="44" t="s">
        <v>111</v>
      </c>
      <c r="D78" t="str">
        <f>VLOOKUP(Q78,PROVINCIAS!B$3:$D$70,2,0)</f>
        <v>46</v>
      </c>
      <c r="E78" s="20" t="s">
        <v>108</v>
      </c>
      <c r="F78">
        <f t="shared" si="3"/>
        <v>80</v>
      </c>
      <c r="G78" s="45">
        <v>25</v>
      </c>
      <c r="I78" s="29">
        <f>VLOOKUP(Q78,PROVINCIAS!B$2:$D$70,3,FALSE)</f>
        <v>17</v>
      </c>
      <c r="K78" s="20" t="str">
        <f t="shared" si="4"/>
        <v>F</v>
      </c>
      <c r="Q78" s="45" t="s">
        <v>120</v>
      </c>
      <c r="R78">
        <v>0</v>
      </c>
      <c r="S78">
        <v>0</v>
      </c>
      <c r="U78">
        <f t="shared" si="5"/>
        <v>2</v>
      </c>
    </row>
    <row r="79" spans="1:21" x14ac:dyDescent="0.15">
      <c r="A79" s="44" t="s">
        <v>110</v>
      </c>
      <c r="C79" s="44" t="s">
        <v>111</v>
      </c>
      <c r="D79" t="str">
        <f>VLOOKUP(Q79,PROVINCIAS!B$3:$D$70,2,0)</f>
        <v>41</v>
      </c>
      <c r="E79" s="20" t="s">
        <v>108</v>
      </c>
      <c r="F79">
        <f t="shared" si="3"/>
        <v>80</v>
      </c>
      <c r="G79" s="45">
        <v>25</v>
      </c>
      <c r="I79" s="29">
        <f>VLOOKUP(Q79,PROVINCIAS!B$2:$D$70,3,FALSE)</f>
        <v>1</v>
      </c>
      <c r="K79" s="20" t="str">
        <f t="shared" si="4"/>
        <v>F</v>
      </c>
      <c r="Q79" s="45" t="s">
        <v>139</v>
      </c>
      <c r="R79">
        <v>0</v>
      </c>
      <c r="S79">
        <v>0</v>
      </c>
      <c r="U79">
        <f t="shared" si="5"/>
        <v>2</v>
      </c>
    </row>
    <row r="80" spans="1:21" x14ac:dyDescent="0.15">
      <c r="A80" s="44" t="s">
        <v>110</v>
      </c>
      <c r="C80" s="44" t="s">
        <v>111</v>
      </c>
      <c r="D80" t="str">
        <f>VLOOKUP(Q80,PROVINCIAS!B$3:$D$70,2,0)</f>
        <v>31</v>
      </c>
      <c r="E80" s="20" t="s">
        <v>108</v>
      </c>
      <c r="F80">
        <f t="shared" si="3"/>
        <v>80</v>
      </c>
      <c r="G80" s="45">
        <v>25</v>
      </c>
      <c r="I80" s="29">
        <f>VLOOKUP(Q80,PROVINCIAS!B$2:$D$70,3,FALSE)</f>
        <v>0</v>
      </c>
      <c r="K80" s="20" t="str">
        <f t="shared" si="4"/>
        <v>F</v>
      </c>
      <c r="Q80" s="45" t="s">
        <v>119</v>
      </c>
      <c r="R80">
        <v>0</v>
      </c>
      <c r="S80">
        <v>0</v>
      </c>
      <c r="U80">
        <f t="shared" si="5"/>
        <v>2</v>
      </c>
    </row>
    <row r="81" spans="1:21" x14ac:dyDescent="0.15">
      <c r="A81" s="44" t="s">
        <v>110</v>
      </c>
      <c r="C81" s="44" t="s">
        <v>111</v>
      </c>
      <c r="D81" t="str">
        <f>VLOOKUP(Q81,PROVINCIAS!B$3:$D$70,2,0)</f>
        <v>12</v>
      </c>
      <c r="E81" s="20" t="s">
        <v>108</v>
      </c>
      <c r="F81">
        <f t="shared" si="3"/>
        <v>80</v>
      </c>
      <c r="G81" s="45">
        <v>25</v>
      </c>
      <c r="I81" s="29">
        <f>VLOOKUP(Q81,PROVINCIAS!B$2:$D$70,3,FALSE)</f>
        <v>17</v>
      </c>
      <c r="K81" s="20" t="str">
        <f t="shared" si="4"/>
        <v>F</v>
      </c>
      <c r="Q81" s="45" t="s">
        <v>140</v>
      </c>
      <c r="R81">
        <v>0</v>
      </c>
      <c r="S81">
        <v>0</v>
      </c>
      <c r="U81">
        <f t="shared" si="5"/>
        <v>2</v>
      </c>
    </row>
    <row r="82" spans="1:21" x14ac:dyDescent="0.15">
      <c r="A82" s="44" t="s">
        <v>110</v>
      </c>
      <c r="C82" s="44" t="s">
        <v>111</v>
      </c>
      <c r="D82" t="str">
        <f>VLOOKUP(Q82,PROVINCIAS!B$3:$D$70,2,0)</f>
        <v>03</v>
      </c>
      <c r="E82" s="20" t="s">
        <v>108</v>
      </c>
      <c r="F82">
        <f t="shared" si="3"/>
        <v>80</v>
      </c>
      <c r="G82" s="44">
        <v>25</v>
      </c>
      <c r="I82" s="29">
        <f>VLOOKUP(Q82,PROVINCIAS!B$2:$D$70,3,FALSE)</f>
        <v>17</v>
      </c>
      <c r="K82" s="20" t="str">
        <f t="shared" si="4"/>
        <v>F</v>
      </c>
      <c r="Q82" s="44" t="s">
        <v>118</v>
      </c>
      <c r="R82">
        <v>0</v>
      </c>
      <c r="S82">
        <v>0</v>
      </c>
      <c r="U82">
        <f t="shared" si="5"/>
        <v>2</v>
      </c>
    </row>
    <row r="83" spans="1:21" x14ac:dyDescent="0.15">
      <c r="A83" s="44" t="s">
        <v>110</v>
      </c>
      <c r="C83" s="44" t="s">
        <v>111</v>
      </c>
      <c r="D83" t="str">
        <f>VLOOKUP(Q83,PROVINCIAS!B$3:$D$70,2,0)</f>
        <v>08</v>
      </c>
      <c r="E83" s="20" t="s">
        <v>108</v>
      </c>
      <c r="F83">
        <f t="shared" si="3"/>
        <v>80</v>
      </c>
      <c r="G83" s="44">
        <v>25</v>
      </c>
      <c r="I83" s="29">
        <f>VLOOKUP(Q83,PROVINCIAS!B$2:$D$70,3,FALSE)</f>
        <v>9</v>
      </c>
      <c r="K83" s="20" t="str">
        <f t="shared" si="4"/>
        <v>F</v>
      </c>
      <c r="Q83" s="44" t="s">
        <v>128</v>
      </c>
      <c r="R83">
        <v>0</v>
      </c>
      <c r="S83">
        <v>0</v>
      </c>
      <c r="U83">
        <f t="shared" si="5"/>
        <v>2</v>
      </c>
    </row>
    <row r="84" spans="1:21" x14ac:dyDescent="0.15">
      <c r="A84" s="44" t="s">
        <v>110</v>
      </c>
      <c r="C84" s="44" t="s">
        <v>111</v>
      </c>
      <c r="D84" t="str">
        <f>VLOOKUP(Q84,PROVINCIAS!B$3:$D$70,2,0)</f>
        <v>40</v>
      </c>
      <c r="E84" s="20" t="s">
        <v>108</v>
      </c>
      <c r="F84">
        <f t="shared" si="3"/>
        <v>80</v>
      </c>
      <c r="G84" s="45">
        <v>25</v>
      </c>
      <c r="I84" s="29">
        <f>VLOOKUP(Q84,PROVINCIAS!B$2:$D$70,3,FALSE)</f>
        <v>8</v>
      </c>
      <c r="K84" s="20" t="str">
        <f t="shared" si="4"/>
        <v>F</v>
      </c>
      <c r="Q84" s="45" t="s">
        <v>141</v>
      </c>
      <c r="R84">
        <v>0</v>
      </c>
      <c r="S84">
        <v>0</v>
      </c>
      <c r="U84">
        <f t="shared" si="5"/>
        <v>2</v>
      </c>
    </row>
    <row r="85" spans="1:21" x14ac:dyDescent="0.15">
      <c r="A85" s="44" t="s">
        <v>110</v>
      </c>
      <c r="C85" s="44" t="s">
        <v>111</v>
      </c>
      <c r="D85" t="str">
        <f>VLOOKUP(Q85,PROVINCIAS!B$3:$D$70,2,0)</f>
        <v>09</v>
      </c>
      <c r="E85" s="20" t="s">
        <v>108</v>
      </c>
      <c r="F85">
        <f t="shared" si="3"/>
        <v>80</v>
      </c>
      <c r="G85" s="44">
        <v>25</v>
      </c>
      <c r="I85" s="29">
        <f>VLOOKUP(Q85,PROVINCIAS!B$2:$D$70,3,FALSE)</f>
        <v>8</v>
      </c>
      <c r="K85" s="20" t="str">
        <f t="shared" si="4"/>
        <v>F</v>
      </c>
      <c r="Q85" s="44" t="s">
        <v>127</v>
      </c>
      <c r="R85">
        <v>0</v>
      </c>
      <c r="S85">
        <v>0</v>
      </c>
      <c r="U85">
        <f t="shared" si="5"/>
        <v>2</v>
      </c>
    </row>
    <row r="86" spans="1:21" x14ac:dyDescent="0.15">
      <c r="A86" s="44" t="s">
        <v>110</v>
      </c>
      <c r="C86" s="44" t="s">
        <v>111</v>
      </c>
      <c r="D86" t="str">
        <f>VLOOKUP(Q86,PROVINCIAS!B$3:$D$70,2,0)</f>
        <v>08</v>
      </c>
      <c r="E86" s="20" t="s">
        <v>108</v>
      </c>
      <c r="F86">
        <f t="shared" si="3"/>
        <v>80</v>
      </c>
      <c r="G86" s="44">
        <v>25</v>
      </c>
      <c r="I86" s="29">
        <f>VLOOKUP(Q86,PROVINCIAS!B$2:$D$70,3,FALSE)</f>
        <v>9</v>
      </c>
      <c r="K86" s="20" t="str">
        <f t="shared" si="4"/>
        <v>F</v>
      </c>
      <c r="Q86" s="44" t="s">
        <v>128</v>
      </c>
      <c r="R86">
        <v>0</v>
      </c>
      <c r="S86">
        <v>0</v>
      </c>
      <c r="U86">
        <f t="shared" si="5"/>
        <v>2</v>
      </c>
    </row>
    <row r="87" spans="1:21" x14ac:dyDescent="0.15">
      <c r="A87" s="44" t="s">
        <v>110</v>
      </c>
      <c r="C87" s="44" t="s">
        <v>111</v>
      </c>
      <c r="D87" t="str">
        <f>VLOOKUP(Q87,PROVINCIAS!B$3:$D$70,2,0)</f>
        <v>28</v>
      </c>
      <c r="E87" s="20" t="s">
        <v>108</v>
      </c>
      <c r="F87">
        <f t="shared" si="3"/>
        <v>80</v>
      </c>
      <c r="G87" s="45">
        <v>100</v>
      </c>
      <c r="I87" s="29">
        <f>VLOOKUP(Q87,PROVINCIAS!B$2:$D$70,3,FALSE)</f>
        <v>12</v>
      </c>
      <c r="K87" s="20" t="str">
        <f t="shared" si="4"/>
        <v>F</v>
      </c>
      <c r="Q87" s="45" t="s">
        <v>112</v>
      </c>
      <c r="R87">
        <v>0</v>
      </c>
      <c r="S87">
        <v>0</v>
      </c>
      <c r="U87">
        <f t="shared" si="5"/>
        <v>2</v>
      </c>
    </row>
    <row r="88" spans="1:21" x14ac:dyDescent="0.15">
      <c r="A88" s="44" t="s">
        <v>110</v>
      </c>
      <c r="C88" s="44" t="s">
        <v>111</v>
      </c>
      <c r="D88" t="str">
        <f>VLOOKUP(Q88,PROVINCIAS!B$3:$D$70,2,0)</f>
        <v>08</v>
      </c>
      <c r="E88" s="20" t="s">
        <v>108</v>
      </c>
      <c r="F88">
        <f t="shared" si="3"/>
        <v>80</v>
      </c>
      <c r="G88" s="44">
        <v>25</v>
      </c>
      <c r="I88" s="29">
        <f>VLOOKUP(Q88,PROVINCIAS!B$2:$D$70,3,FALSE)</f>
        <v>9</v>
      </c>
      <c r="K88" s="20" t="str">
        <f t="shared" si="4"/>
        <v>F</v>
      </c>
      <c r="Q88" s="44" t="s">
        <v>128</v>
      </c>
      <c r="R88">
        <v>0</v>
      </c>
      <c r="S88">
        <v>0</v>
      </c>
      <c r="U88">
        <f t="shared" si="5"/>
        <v>2</v>
      </c>
    </row>
    <row r="89" spans="1:21" x14ac:dyDescent="0.15">
      <c r="A89" s="44" t="s">
        <v>110</v>
      </c>
      <c r="C89" s="44" t="s">
        <v>111</v>
      </c>
      <c r="D89" t="str">
        <f>VLOOKUP(Q89,PROVINCIAS!B$3:$D$70,2,0)</f>
        <v>01</v>
      </c>
      <c r="E89" s="20" t="s">
        <v>108</v>
      </c>
      <c r="F89">
        <f t="shared" si="3"/>
        <v>80</v>
      </c>
      <c r="G89" s="45">
        <v>25</v>
      </c>
      <c r="I89" s="29">
        <f>VLOOKUP(Q89,PROVINCIAS!B$2:$D$70,3,FALSE)</f>
        <v>0</v>
      </c>
      <c r="K89" s="20" t="str">
        <f t="shared" si="4"/>
        <v>F</v>
      </c>
      <c r="Q89" s="45" t="s">
        <v>131</v>
      </c>
      <c r="R89">
        <v>0</v>
      </c>
      <c r="S89">
        <v>0</v>
      </c>
      <c r="U89">
        <f t="shared" si="5"/>
        <v>2</v>
      </c>
    </row>
    <row r="90" spans="1:21" x14ac:dyDescent="0.15">
      <c r="A90" s="44" t="s">
        <v>110</v>
      </c>
      <c r="C90" s="44" t="s">
        <v>111</v>
      </c>
      <c r="D90" t="str">
        <f>VLOOKUP(Q90,PROVINCIAS!B$3:$D$70,2,0)</f>
        <v>28</v>
      </c>
      <c r="E90" s="20" t="s">
        <v>108</v>
      </c>
      <c r="F90">
        <f t="shared" si="3"/>
        <v>80</v>
      </c>
      <c r="G90" s="45">
        <v>25</v>
      </c>
      <c r="I90" s="29">
        <f>VLOOKUP(Q90,PROVINCIAS!B$2:$D$70,3,FALSE)</f>
        <v>12</v>
      </c>
      <c r="K90" s="20" t="str">
        <f t="shared" si="4"/>
        <v>F</v>
      </c>
      <c r="Q90" s="45" t="s">
        <v>112</v>
      </c>
      <c r="R90">
        <v>0</v>
      </c>
      <c r="S90">
        <v>0</v>
      </c>
      <c r="U90">
        <f t="shared" si="5"/>
        <v>2</v>
      </c>
    </row>
    <row r="91" spans="1:21" x14ac:dyDescent="0.15">
      <c r="A91" s="44" t="s">
        <v>110</v>
      </c>
      <c r="C91" s="44" t="s">
        <v>111</v>
      </c>
      <c r="D91" t="str">
        <f>VLOOKUP(Q91,PROVINCIAS!B$3:$D$70,2,0)</f>
        <v>48</v>
      </c>
      <c r="E91" s="20" t="s">
        <v>108</v>
      </c>
      <c r="F91">
        <f t="shared" si="3"/>
        <v>80</v>
      </c>
      <c r="G91" s="45">
        <v>25</v>
      </c>
      <c r="I91" s="29">
        <f>VLOOKUP(Q91,PROVINCIAS!B$2:$D$70,3,FALSE)</f>
        <v>0</v>
      </c>
      <c r="K91" s="20" t="str">
        <f t="shared" si="4"/>
        <v>F</v>
      </c>
      <c r="Q91" s="45" t="s">
        <v>142</v>
      </c>
      <c r="R91">
        <v>0</v>
      </c>
      <c r="S91">
        <v>0</v>
      </c>
      <c r="U91">
        <f t="shared" si="5"/>
        <v>2</v>
      </c>
    </row>
    <row r="92" spans="1:21" x14ac:dyDescent="0.15">
      <c r="A92" s="44" t="s">
        <v>110</v>
      </c>
      <c r="C92" s="44" t="s">
        <v>111</v>
      </c>
      <c r="D92" t="str">
        <f>VLOOKUP(Q92,PROVINCIAS!B$3:$D$70,2,0)</f>
        <v>28</v>
      </c>
      <c r="E92" s="20" t="s">
        <v>108</v>
      </c>
      <c r="F92">
        <f t="shared" si="3"/>
        <v>80</v>
      </c>
      <c r="G92" s="44">
        <v>50</v>
      </c>
      <c r="I92" s="29">
        <f>VLOOKUP(Q92,PROVINCIAS!B$2:$D$70,3,FALSE)</f>
        <v>12</v>
      </c>
      <c r="K92" s="20" t="str">
        <f t="shared" si="4"/>
        <v>F</v>
      </c>
      <c r="Q92" s="44" t="s">
        <v>112</v>
      </c>
      <c r="R92">
        <v>0</v>
      </c>
      <c r="S92">
        <v>0</v>
      </c>
      <c r="U92">
        <f t="shared" si="5"/>
        <v>2</v>
      </c>
    </row>
    <row r="93" spans="1:21" x14ac:dyDescent="0.15">
      <c r="A93" s="44" t="s">
        <v>110</v>
      </c>
      <c r="C93" s="44" t="s">
        <v>111</v>
      </c>
      <c r="D93" t="str">
        <f>VLOOKUP(Q93,PROVINCIAS!B$3:$D$70,2,0)</f>
        <v>01</v>
      </c>
      <c r="E93" s="20" t="s">
        <v>108</v>
      </c>
      <c r="F93">
        <f t="shared" si="3"/>
        <v>80</v>
      </c>
      <c r="G93" s="45">
        <v>25</v>
      </c>
      <c r="I93" s="29">
        <f>VLOOKUP(Q93,PROVINCIAS!B$2:$D$70,3,FALSE)</f>
        <v>0</v>
      </c>
      <c r="K93" s="20" t="str">
        <f t="shared" si="4"/>
        <v>F</v>
      </c>
      <c r="Q93" s="45" t="s">
        <v>131</v>
      </c>
      <c r="R93">
        <v>0</v>
      </c>
      <c r="S93">
        <v>0</v>
      </c>
      <c r="U93">
        <f t="shared" si="5"/>
        <v>2</v>
      </c>
    </row>
    <row r="94" spans="1:21" x14ac:dyDescent="0.15">
      <c r="A94" s="44" t="s">
        <v>110</v>
      </c>
      <c r="C94" s="44" t="s">
        <v>111</v>
      </c>
      <c r="D94" t="str">
        <f>VLOOKUP(Q94,PROVINCIAS!B$3:$D$70,2,0)</f>
        <v>28</v>
      </c>
      <c r="E94" s="20" t="s">
        <v>108</v>
      </c>
      <c r="F94">
        <f t="shared" si="3"/>
        <v>80</v>
      </c>
      <c r="G94" s="44">
        <v>25</v>
      </c>
      <c r="I94" s="29">
        <f>VLOOKUP(Q94,PROVINCIAS!B$2:$D$70,3,FALSE)</f>
        <v>12</v>
      </c>
      <c r="K94" s="20" t="str">
        <f t="shared" si="4"/>
        <v>F</v>
      </c>
      <c r="Q94" s="44" t="s">
        <v>112</v>
      </c>
      <c r="R94">
        <v>0</v>
      </c>
      <c r="S94">
        <v>0</v>
      </c>
      <c r="U94">
        <f t="shared" si="5"/>
        <v>2</v>
      </c>
    </row>
    <row r="95" spans="1:21" x14ac:dyDescent="0.15">
      <c r="A95" s="44" t="s">
        <v>110</v>
      </c>
      <c r="C95" s="44" t="s">
        <v>111</v>
      </c>
      <c r="D95" t="str">
        <f>VLOOKUP(Q95,PROVINCIAS!B$3:$D$70,2,0)</f>
        <v>28</v>
      </c>
      <c r="E95" s="20" t="s">
        <v>108</v>
      </c>
      <c r="F95">
        <f t="shared" si="3"/>
        <v>80</v>
      </c>
      <c r="G95" s="45">
        <v>40</v>
      </c>
      <c r="I95" s="29">
        <f>VLOOKUP(Q95,PROVINCIAS!B$2:$D$70,3,FALSE)</f>
        <v>12</v>
      </c>
      <c r="K95" s="20" t="str">
        <f t="shared" si="4"/>
        <v>F</v>
      </c>
      <c r="Q95" s="45" t="s">
        <v>112</v>
      </c>
      <c r="R95">
        <v>0</v>
      </c>
      <c r="S95">
        <v>0</v>
      </c>
      <c r="U95">
        <f t="shared" si="5"/>
        <v>2</v>
      </c>
    </row>
    <row r="96" spans="1:21" x14ac:dyDescent="0.15">
      <c r="A96" s="44" t="s">
        <v>110</v>
      </c>
      <c r="C96" s="44" t="s">
        <v>111</v>
      </c>
      <c r="D96" t="str">
        <f>VLOOKUP(Q96,PROVINCIAS!B$3:$D$70,2,0)</f>
        <v>28</v>
      </c>
      <c r="E96" s="20" t="s">
        <v>108</v>
      </c>
      <c r="F96">
        <f t="shared" si="3"/>
        <v>80</v>
      </c>
      <c r="G96" s="44">
        <v>40</v>
      </c>
      <c r="I96" s="29">
        <f>VLOOKUP(Q96,PROVINCIAS!B$2:$D$70,3,FALSE)</f>
        <v>12</v>
      </c>
      <c r="K96" s="20" t="str">
        <f t="shared" si="4"/>
        <v>F</v>
      </c>
      <c r="Q96" s="44" t="s">
        <v>112</v>
      </c>
      <c r="R96">
        <v>0</v>
      </c>
      <c r="S96">
        <v>0</v>
      </c>
      <c r="U96">
        <f t="shared" si="5"/>
        <v>2</v>
      </c>
    </row>
    <row r="97" spans="1:21" x14ac:dyDescent="0.15">
      <c r="A97" s="44" t="s">
        <v>110</v>
      </c>
      <c r="C97" s="44" t="s">
        <v>111</v>
      </c>
      <c r="D97" t="str">
        <f>VLOOKUP(Q97,PROVINCIAS!B$3:$D$70,2,0)</f>
        <v>28</v>
      </c>
      <c r="E97" s="20" t="s">
        <v>108</v>
      </c>
      <c r="F97">
        <f t="shared" si="3"/>
        <v>80</v>
      </c>
      <c r="G97" s="44">
        <v>60</v>
      </c>
      <c r="I97" s="29">
        <f>VLOOKUP(Q97,PROVINCIAS!B$2:$D$70,3,FALSE)</f>
        <v>12</v>
      </c>
      <c r="K97" s="20" t="str">
        <f t="shared" si="4"/>
        <v>F</v>
      </c>
      <c r="Q97" s="44" t="s">
        <v>112</v>
      </c>
      <c r="R97">
        <v>0</v>
      </c>
      <c r="S97">
        <v>0</v>
      </c>
      <c r="U97">
        <f t="shared" si="5"/>
        <v>2</v>
      </c>
    </row>
    <row r="98" spans="1:21" x14ac:dyDescent="0.15">
      <c r="A98" s="44" t="s">
        <v>110</v>
      </c>
      <c r="C98" s="44" t="s">
        <v>111</v>
      </c>
      <c r="D98" t="str">
        <f>VLOOKUP(Q98,PROVINCIAS!B$3:$D$70,2,0)</f>
        <v>01</v>
      </c>
      <c r="E98" s="20" t="s">
        <v>108</v>
      </c>
      <c r="F98">
        <f t="shared" si="3"/>
        <v>80</v>
      </c>
      <c r="G98" s="44">
        <v>25</v>
      </c>
      <c r="I98" s="29">
        <f>VLOOKUP(Q98,PROVINCIAS!B$2:$D$70,3,FALSE)</f>
        <v>0</v>
      </c>
      <c r="K98" s="20" t="str">
        <f t="shared" si="4"/>
        <v>F</v>
      </c>
      <c r="Q98" s="44" t="s">
        <v>131</v>
      </c>
      <c r="R98">
        <v>0</v>
      </c>
      <c r="S98">
        <v>0</v>
      </c>
      <c r="U98">
        <f t="shared" si="5"/>
        <v>2</v>
      </c>
    </row>
    <row r="99" spans="1:21" x14ac:dyDescent="0.15">
      <c r="A99" s="44" t="s">
        <v>110</v>
      </c>
      <c r="C99" s="44" t="s">
        <v>111</v>
      </c>
      <c r="D99" t="str">
        <f>VLOOKUP(Q99,PROVINCIAS!B$3:$D$70,2,0)</f>
        <v>08</v>
      </c>
      <c r="E99" s="20" t="s">
        <v>108</v>
      </c>
      <c r="F99">
        <f t="shared" si="3"/>
        <v>80</v>
      </c>
      <c r="G99" s="45">
        <v>25</v>
      </c>
      <c r="I99" s="29">
        <f>VLOOKUP(Q99,PROVINCIAS!B$2:$D$70,3,FALSE)</f>
        <v>9</v>
      </c>
      <c r="K99" s="20" t="str">
        <f t="shared" si="4"/>
        <v>F</v>
      </c>
      <c r="Q99" s="45" t="s">
        <v>128</v>
      </c>
      <c r="R99">
        <v>0</v>
      </c>
      <c r="S99">
        <v>0</v>
      </c>
      <c r="U99">
        <f t="shared" si="5"/>
        <v>2</v>
      </c>
    </row>
    <row r="100" spans="1:21" x14ac:dyDescent="0.15">
      <c r="A100" s="44" t="s">
        <v>110</v>
      </c>
      <c r="C100" s="44" t="s">
        <v>111</v>
      </c>
      <c r="D100" t="str">
        <f>VLOOKUP(Q100,PROVINCIAS!B$3:$D$70,2,0)</f>
        <v>08</v>
      </c>
      <c r="E100" s="20" t="s">
        <v>108</v>
      </c>
      <c r="F100">
        <f t="shared" si="3"/>
        <v>80</v>
      </c>
      <c r="G100" s="44">
        <v>50</v>
      </c>
      <c r="I100" s="29">
        <f>VLOOKUP(Q100,PROVINCIAS!B$2:$D$70,3,FALSE)</f>
        <v>9</v>
      </c>
      <c r="K100" s="20" t="str">
        <f t="shared" si="4"/>
        <v>F</v>
      </c>
      <c r="Q100" s="44" t="s">
        <v>128</v>
      </c>
      <c r="R100">
        <v>0</v>
      </c>
      <c r="S100">
        <v>0</v>
      </c>
      <c r="U100">
        <f t="shared" si="5"/>
        <v>2</v>
      </c>
    </row>
    <row r="101" spans="1:21" x14ac:dyDescent="0.15">
      <c r="A101" s="44" t="s">
        <v>110</v>
      </c>
      <c r="C101" s="44" t="s">
        <v>111</v>
      </c>
      <c r="D101" t="str">
        <f>VLOOKUP(Q101,PROVINCIAS!B$3:$D$70,2,0)</f>
        <v>50</v>
      </c>
      <c r="E101" s="20" t="s">
        <v>108</v>
      </c>
      <c r="F101">
        <f t="shared" si="3"/>
        <v>80</v>
      </c>
      <c r="G101" s="44">
        <v>30</v>
      </c>
      <c r="I101" s="29">
        <f>VLOOKUP(Q101,PROVINCIAS!B$2:$D$70,3,FALSE)</f>
        <v>2</v>
      </c>
      <c r="K101" s="20" t="str">
        <f t="shared" si="4"/>
        <v>F</v>
      </c>
      <c r="Q101" s="44" t="s">
        <v>109</v>
      </c>
      <c r="R101">
        <v>0</v>
      </c>
      <c r="S101">
        <v>0</v>
      </c>
      <c r="U101">
        <f t="shared" si="5"/>
        <v>2</v>
      </c>
    </row>
    <row r="102" spans="1:21" x14ac:dyDescent="0.15">
      <c r="A102" s="44" t="s">
        <v>110</v>
      </c>
      <c r="C102" s="44" t="s">
        <v>111</v>
      </c>
      <c r="D102" t="str">
        <f>VLOOKUP(Q102,PROVINCIAS!B$3:$D$70,2,0)</f>
        <v>43</v>
      </c>
      <c r="E102" s="20" t="s">
        <v>108</v>
      </c>
      <c r="F102">
        <f t="shared" si="3"/>
        <v>80</v>
      </c>
      <c r="G102" s="44">
        <v>25</v>
      </c>
      <c r="I102" s="29">
        <f>VLOOKUP(Q102,PROVINCIAS!B$2:$D$70,3,FALSE)</f>
        <v>9</v>
      </c>
      <c r="K102" s="20" t="str">
        <f t="shared" si="4"/>
        <v>F</v>
      </c>
      <c r="Q102" s="44" t="s">
        <v>135</v>
      </c>
      <c r="R102">
        <v>0</v>
      </c>
      <c r="S102">
        <v>0</v>
      </c>
      <c r="U102">
        <f t="shared" si="5"/>
        <v>2</v>
      </c>
    </row>
    <row r="103" spans="1:21" x14ac:dyDescent="0.15">
      <c r="A103" s="44" t="s">
        <v>110</v>
      </c>
      <c r="C103" s="44" t="s">
        <v>111</v>
      </c>
      <c r="D103" t="str">
        <f>VLOOKUP(Q103,PROVINCIAS!B$3:$D$70,2,0)</f>
        <v>08</v>
      </c>
      <c r="E103" s="20" t="s">
        <v>108</v>
      </c>
      <c r="F103">
        <f t="shared" si="3"/>
        <v>80</v>
      </c>
      <c r="G103" s="44">
        <v>100</v>
      </c>
      <c r="I103" s="29">
        <f>VLOOKUP(Q103,PROVINCIAS!B$2:$D$70,3,FALSE)</f>
        <v>9</v>
      </c>
      <c r="K103" s="20" t="str">
        <f t="shared" si="4"/>
        <v>F</v>
      </c>
      <c r="Q103" s="44" t="s">
        <v>128</v>
      </c>
      <c r="R103">
        <v>0</v>
      </c>
      <c r="S103">
        <v>0</v>
      </c>
      <c r="U103">
        <f t="shared" si="5"/>
        <v>2</v>
      </c>
    </row>
    <row r="104" spans="1:21" x14ac:dyDescent="0.15">
      <c r="A104" s="44" t="s">
        <v>110</v>
      </c>
      <c r="C104" s="44" t="s">
        <v>111</v>
      </c>
      <c r="D104" t="str">
        <f>VLOOKUP(Q104,PROVINCIAS!B$3:$D$70,2,0)</f>
        <v>33</v>
      </c>
      <c r="E104" s="20" t="s">
        <v>108</v>
      </c>
      <c r="F104">
        <f t="shared" si="3"/>
        <v>80</v>
      </c>
      <c r="G104" s="45">
        <v>25</v>
      </c>
      <c r="I104" s="29">
        <f>VLOOKUP(Q104,PROVINCIAS!B$2:$D$70,3,FALSE)</f>
        <v>3</v>
      </c>
      <c r="K104" s="20" t="str">
        <f t="shared" si="4"/>
        <v>F</v>
      </c>
      <c r="Q104" s="45" t="s">
        <v>117</v>
      </c>
      <c r="R104">
        <v>0</v>
      </c>
      <c r="S104">
        <v>0</v>
      </c>
      <c r="U104">
        <f t="shared" si="5"/>
        <v>2</v>
      </c>
    </row>
    <row r="105" spans="1:21" x14ac:dyDescent="0.15">
      <c r="A105" s="44" t="s">
        <v>110</v>
      </c>
      <c r="C105" s="44" t="s">
        <v>111</v>
      </c>
      <c r="D105" t="str">
        <f>VLOOKUP(Q105,PROVINCIAS!B$3:$D$70,2,0)</f>
        <v>08</v>
      </c>
      <c r="E105" s="20" t="s">
        <v>108</v>
      </c>
      <c r="F105">
        <f t="shared" si="3"/>
        <v>80</v>
      </c>
      <c r="G105" s="44">
        <v>75</v>
      </c>
      <c r="I105" s="29">
        <f>VLOOKUP(Q105,PROVINCIAS!B$2:$D$70,3,FALSE)</f>
        <v>9</v>
      </c>
      <c r="K105" s="20" t="str">
        <f t="shared" si="4"/>
        <v>F</v>
      </c>
      <c r="Q105" s="44" t="s">
        <v>128</v>
      </c>
      <c r="R105">
        <v>0</v>
      </c>
      <c r="S105">
        <v>0</v>
      </c>
      <c r="U105">
        <f t="shared" si="5"/>
        <v>2</v>
      </c>
    </row>
    <row r="106" spans="1:21" x14ac:dyDescent="0.15">
      <c r="A106" s="44" t="s">
        <v>110</v>
      </c>
      <c r="C106" s="44" t="s">
        <v>111</v>
      </c>
      <c r="D106" t="str">
        <f>VLOOKUP(Q106,PROVINCIAS!B$3:$D$70,2,0)</f>
        <v>28</v>
      </c>
      <c r="E106" s="20" t="s">
        <v>108</v>
      </c>
      <c r="F106">
        <f t="shared" si="3"/>
        <v>80</v>
      </c>
      <c r="G106" s="45">
        <v>25</v>
      </c>
      <c r="I106" s="29">
        <f>VLOOKUP(Q106,PROVINCIAS!B$2:$D$70,3,FALSE)</f>
        <v>12</v>
      </c>
      <c r="K106" s="20" t="str">
        <f t="shared" si="4"/>
        <v>F</v>
      </c>
      <c r="Q106" s="45" t="s">
        <v>112</v>
      </c>
      <c r="R106">
        <v>0</v>
      </c>
      <c r="S106">
        <v>0</v>
      </c>
      <c r="U106">
        <f t="shared" si="5"/>
        <v>2</v>
      </c>
    </row>
    <row r="107" spans="1:21" x14ac:dyDescent="0.15">
      <c r="A107" s="44" t="s">
        <v>110</v>
      </c>
      <c r="C107" s="44" t="s">
        <v>111</v>
      </c>
      <c r="D107" t="str">
        <f>VLOOKUP(Q107,PROVINCIAS!B$3:$D$70,2,0)</f>
        <v>46</v>
      </c>
      <c r="E107" s="20" t="s">
        <v>108</v>
      </c>
      <c r="F107">
        <f t="shared" si="3"/>
        <v>80</v>
      </c>
      <c r="G107" s="44">
        <v>50</v>
      </c>
      <c r="I107" s="29">
        <f>VLOOKUP(Q107,PROVINCIAS!B$2:$D$70,3,FALSE)</f>
        <v>17</v>
      </c>
      <c r="K107" s="20" t="str">
        <f t="shared" si="4"/>
        <v>F</v>
      </c>
      <c r="Q107" s="44" t="s">
        <v>120</v>
      </c>
      <c r="R107">
        <v>0</v>
      </c>
      <c r="S107">
        <v>0</v>
      </c>
      <c r="U107">
        <f t="shared" si="5"/>
        <v>2</v>
      </c>
    </row>
    <row r="108" spans="1:21" x14ac:dyDescent="0.15">
      <c r="A108" s="44" t="s">
        <v>110</v>
      </c>
      <c r="C108" s="44" t="s">
        <v>111</v>
      </c>
      <c r="D108" t="str">
        <f>VLOOKUP(Q108,PROVINCIAS!B$3:$D$70,2,0)</f>
        <v>28</v>
      </c>
      <c r="E108" s="20" t="s">
        <v>108</v>
      </c>
      <c r="F108">
        <f t="shared" si="3"/>
        <v>80</v>
      </c>
      <c r="G108" s="44">
        <v>25</v>
      </c>
      <c r="I108" s="29">
        <f>VLOOKUP(Q108,PROVINCIAS!B$2:$D$70,3,FALSE)</f>
        <v>12</v>
      </c>
      <c r="K108" s="20" t="str">
        <f t="shared" si="4"/>
        <v>F</v>
      </c>
      <c r="Q108" s="44" t="s">
        <v>112</v>
      </c>
      <c r="R108">
        <v>0</v>
      </c>
      <c r="S108">
        <v>0</v>
      </c>
      <c r="U108">
        <f t="shared" si="5"/>
        <v>2</v>
      </c>
    </row>
    <row r="109" spans="1:21" x14ac:dyDescent="0.15">
      <c r="A109" s="44" t="s">
        <v>110</v>
      </c>
      <c r="C109" s="44" t="s">
        <v>111</v>
      </c>
      <c r="D109" t="str">
        <f>VLOOKUP(Q109,PROVINCIAS!B$3:$D$70,2,0)</f>
        <v>08</v>
      </c>
      <c r="E109" s="20" t="s">
        <v>108</v>
      </c>
      <c r="F109">
        <f t="shared" si="3"/>
        <v>80</v>
      </c>
      <c r="G109" s="45">
        <v>30</v>
      </c>
      <c r="I109" s="29">
        <f>VLOOKUP(Q109,PROVINCIAS!B$2:$D$70,3,FALSE)</f>
        <v>9</v>
      </c>
      <c r="K109" s="20" t="str">
        <f t="shared" si="4"/>
        <v>F</v>
      </c>
      <c r="Q109" s="45" t="s">
        <v>128</v>
      </c>
      <c r="R109">
        <v>0</v>
      </c>
      <c r="S109">
        <v>0</v>
      </c>
      <c r="U109">
        <f t="shared" si="5"/>
        <v>2</v>
      </c>
    </row>
    <row r="110" spans="1:21" x14ac:dyDescent="0.15">
      <c r="A110" s="44" t="s">
        <v>110</v>
      </c>
      <c r="C110" s="44" t="s">
        <v>111</v>
      </c>
      <c r="D110" t="str">
        <f>VLOOKUP(Q110,PROVINCIAS!B$3:$D$70,2,0)</f>
        <v>33</v>
      </c>
      <c r="E110" s="20" t="s">
        <v>108</v>
      </c>
      <c r="F110">
        <f t="shared" si="3"/>
        <v>80</v>
      </c>
      <c r="G110" s="45">
        <v>25</v>
      </c>
      <c r="I110" s="29">
        <f>VLOOKUP(Q110,PROVINCIAS!B$2:$D$70,3,FALSE)</f>
        <v>3</v>
      </c>
      <c r="K110" s="20" t="str">
        <f t="shared" si="4"/>
        <v>F</v>
      </c>
      <c r="Q110" s="45" t="s">
        <v>117</v>
      </c>
      <c r="R110">
        <v>0</v>
      </c>
      <c r="S110">
        <v>0</v>
      </c>
      <c r="U110">
        <f t="shared" si="5"/>
        <v>2</v>
      </c>
    </row>
    <row r="111" spans="1:21" x14ac:dyDescent="0.15">
      <c r="A111" s="44" t="s">
        <v>110</v>
      </c>
      <c r="C111" s="44" t="s">
        <v>111</v>
      </c>
      <c r="D111" t="str">
        <f>VLOOKUP(Q111,PROVINCIAS!B$3:$D$70,2,0)</f>
        <v>46</v>
      </c>
      <c r="E111" s="20" t="s">
        <v>108</v>
      </c>
      <c r="F111">
        <f t="shared" si="3"/>
        <v>80</v>
      </c>
      <c r="G111" s="45">
        <v>75</v>
      </c>
      <c r="I111" s="29">
        <f>VLOOKUP(Q111,PROVINCIAS!B$2:$D$70,3,FALSE)</f>
        <v>17</v>
      </c>
      <c r="K111" s="20" t="str">
        <f t="shared" si="4"/>
        <v>F</v>
      </c>
      <c r="Q111" s="45" t="s">
        <v>120</v>
      </c>
      <c r="R111">
        <v>0</v>
      </c>
      <c r="S111">
        <v>0</v>
      </c>
      <c r="U111">
        <f t="shared" si="5"/>
        <v>2</v>
      </c>
    </row>
    <row r="112" spans="1:21" x14ac:dyDescent="0.15">
      <c r="A112" s="44" t="s">
        <v>110</v>
      </c>
      <c r="C112" s="44" t="s">
        <v>111</v>
      </c>
      <c r="D112" t="str">
        <f>VLOOKUP(Q112,PROVINCIAS!B$3:$D$70,2,0)</f>
        <v>28</v>
      </c>
      <c r="E112" s="20" t="s">
        <v>108</v>
      </c>
      <c r="F112">
        <f t="shared" si="3"/>
        <v>80</v>
      </c>
      <c r="G112" s="44">
        <v>30</v>
      </c>
      <c r="I112" s="29">
        <f>VLOOKUP(Q112,PROVINCIAS!B$2:$D$70,3,FALSE)</f>
        <v>12</v>
      </c>
      <c r="K112" s="20" t="str">
        <f t="shared" si="4"/>
        <v>F</v>
      </c>
      <c r="Q112" s="44" t="s">
        <v>112</v>
      </c>
      <c r="R112">
        <v>0</v>
      </c>
      <c r="S112">
        <v>0</v>
      </c>
      <c r="U112">
        <f t="shared" si="5"/>
        <v>2</v>
      </c>
    </row>
    <row r="113" spans="1:21" x14ac:dyDescent="0.15">
      <c r="A113" s="44" t="s">
        <v>110</v>
      </c>
      <c r="C113" s="44" t="s">
        <v>111</v>
      </c>
      <c r="D113" t="str">
        <f>VLOOKUP(Q113,PROVINCIAS!B$3:$D$70,2,0)</f>
        <v>35</v>
      </c>
      <c r="E113" s="20" t="s">
        <v>108</v>
      </c>
      <c r="F113">
        <f t="shared" si="3"/>
        <v>80</v>
      </c>
      <c r="G113" s="45">
        <v>25</v>
      </c>
      <c r="I113" s="29">
        <f>VLOOKUP(Q113,PROVINCIAS!B$2:$D$70,3,FALSE)</f>
        <v>0</v>
      </c>
      <c r="K113" s="20" t="str">
        <f t="shared" si="4"/>
        <v>F</v>
      </c>
      <c r="Q113" s="45" t="s">
        <v>143</v>
      </c>
      <c r="R113">
        <v>0</v>
      </c>
      <c r="S113">
        <v>0</v>
      </c>
      <c r="U113">
        <f t="shared" si="5"/>
        <v>2</v>
      </c>
    </row>
    <row r="114" spans="1:21" x14ac:dyDescent="0.15">
      <c r="A114" s="44" t="s">
        <v>110</v>
      </c>
      <c r="C114" s="44" t="s">
        <v>111</v>
      </c>
      <c r="D114" t="str">
        <f>VLOOKUP(Q114,PROVINCIAS!B$3:$D$70,2,0)</f>
        <v>28</v>
      </c>
      <c r="E114" s="20" t="s">
        <v>108</v>
      </c>
      <c r="F114">
        <f t="shared" si="3"/>
        <v>80</v>
      </c>
      <c r="G114" s="44">
        <v>100</v>
      </c>
      <c r="I114" s="29">
        <f>VLOOKUP(Q114,PROVINCIAS!B$2:$D$70,3,FALSE)</f>
        <v>12</v>
      </c>
      <c r="K114" s="20" t="str">
        <f t="shared" si="4"/>
        <v>F</v>
      </c>
      <c r="Q114" s="44" t="s">
        <v>112</v>
      </c>
      <c r="R114">
        <v>0</v>
      </c>
      <c r="S114">
        <v>0</v>
      </c>
      <c r="U114">
        <f t="shared" si="5"/>
        <v>2</v>
      </c>
    </row>
    <row r="115" spans="1:21" x14ac:dyDescent="0.15">
      <c r="A115" s="44" t="s">
        <v>110</v>
      </c>
      <c r="C115" s="44" t="s">
        <v>111</v>
      </c>
      <c r="D115" t="str">
        <f>VLOOKUP(Q115,PROVINCIAS!B$3:$D$70,2,0)</f>
        <v>28</v>
      </c>
      <c r="E115" s="20" t="s">
        <v>108</v>
      </c>
      <c r="F115">
        <f t="shared" si="3"/>
        <v>80</v>
      </c>
      <c r="G115" s="44">
        <v>25</v>
      </c>
      <c r="I115" s="29">
        <f>VLOOKUP(Q115,PROVINCIAS!B$2:$D$70,3,FALSE)</f>
        <v>12</v>
      </c>
      <c r="K115" s="20" t="str">
        <f t="shared" si="4"/>
        <v>F</v>
      </c>
      <c r="Q115" s="44" t="s">
        <v>112</v>
      </c>
      <c r="R115">
        <v>0</v>
      </c>
      <c r="S115">
        <v>0</v>
      </c>
      <c r="U115">
        <f t="shared" si="5"/>
        <v>2</v>
      </c>
    </row>
    <row r="116" spans="1:21" x14ac:dyDescent="0.15">
      <c r="A116" s="44" t="s">
        <v>110</v>
      </c>
      <c r="C116" s="44" t="s">
        <v>111</v>
      </c>
      <c r="D116" t="str">
        <f>VLOOKUP(Q116,PROVINCIAS!B$3:$D$70,2,0)</f>
        <v>48</v>
      </c>
      <c r="E116" s="20" t="s">
        <v>108</v>
      </c>
      <c r="F116">
        <f t="shared" si="3"/>
        <v>80</v>
      </c>
      <c r="G116" s="44">
        <v>25</v>
      </c>
      <c r="I116" s="29">
        <f>VLOOKUP(Q116,PROVINCIAS!B$2:$D$70,3,FALSE)</f>
        <v>0</v>
      </c>
      <c r="K116" s="20" t="str">
        <f t="shared" si="4"/>
        <v>F</v>
      </c>
      <c r="Q116" s="44" t="s">
        <v>142</v>
      </c>
      <c r="R116">
        <v>0</v>
      </c>
      <c r="S116">
        <v>0</v>
      </c>
      <c r="U116">
        <f t="shared" si="5"/>
        <v>2</v>
      </c>
    </row>
    <row r="117" spans="1:21" x14ac:dyDescent="0.15">
      <c r="A117" s="44" t="s">
        <v>110</v>
      </c>
      <c r="C117" s="44" t="s">
        <v>111</v>
      </c>
      <c r="D117" t="str">
        <f>VLOOKUP(Q117,PROVINCIAS!B$3:$D$70,2,0)</f>
        <v>28</v>
      </c>
      <c r="E117" s="20" t="s">
        <v>108</v>
      </c>
      <c r="F117">
        <f t="shared" si="3"/>
        <v>80</v>
      </c>
      <c r="G117" s="45">
        <v>25</v>
      </c>
      <c r="I117" s="29">
        <f>VLOOKUP(Q117,PROVINCIAS!B$2:$D$70,3,FALSE)</f>
        <v>12</v>
      </c>
      <c r="K117" s="20" t="str">
        <f t="shared" si="4"/>
        <v>F</v>
      </c>
      <c r="Q117" s="45" t="s">
        <v>112</v>
      </c>
      <c r="R117">
        <v>0</v>
      </c>
      <c r="S117">
        <v>0</v>
      </c>
      <c r="U117">
        <f t="shared" si="5"/>
        <v>2</v>
      </c>
    </row>
    <row r="118" spans="1:21" x14ac:dyDescent="0.15">
      <c r="A118" s="44" t="s">
        <v>110</v>
      </c>
      <c r="C118" s="44" t="s">
        <v>111</v>
      </c>
      <c r="D118" t="str">
        <f>VLOOKUP(Q118,PROVINCIAS!B$3:$D$70,2,0)</f>
        <v>39</v>
      </c>
      <c r="E118" s="20" t="s">
        <v>108</v>
      </c>
      <c r="F118">
        <f t="shared" si="3"/>
        <v>80</v>
      </c>
      <c r="G118" s="45">
        <v>25</v>
      </c>
      <c r="I118" s="29">
        <f>VLOOKUP(Q118,PROVINCIAS!B$2:$D$70,3,FALSE)</f>
        <v>6</v>
      </c>
      <c r="K118" s="20" t="str">
        <f t="shared" si="4"/>
        <v>F</v>
      </c>
      <c r="Q118" s="45" t="s">
        <v>138</v>
      </c>
      <c r="R118">
        <v>0</v>
      </c>
      <c r="S118">
        <v>0</v>
      </c>
      <c r="U118">
        <f t="shared" si="5"/>
        <v>2</v>
      </c>
    </row>
    <row r="119" spans="1:21" x14ac:dyDescent="0.15">
      <c r="A119" s="44" t="s">
        <v>110</v>
      </c>
      <c r="C119" s="44" t="s">
        <v>111</v>
      </c>
      <c r="D119" t="str">
        <f>VLOOKUP(Q119,PROVINCIAS!B$3:$D$70,2,0)</f>
        <v>28</v>
      </c>
      <c r="E119" s="20" t="s">
        <v>108</v>
      </c>
      <c r="F119">
        <f t="shared" si="3"/>
        <v>80</v>
      </c>
      <c r="G119" s="44">
        <v>50</v>
      </c>
      <c r="I119" s="29">
        <f>VLOOKUP(Q119,PROVINCIAS!B$2:$D$70,3,FALSE)</f>
        <v>12</v>
      </c>
      <c r="K119" s="20" t="str">
        <f t="shared" si="4"/>
        <v>F</v>
      </c>
      <c r="Q119" s="44" t="s">
        <v>112</v>
      </c>
      <c r="R119">
        <v>0</v>
      </c>
      <c r="S119">
        <v>0</v>
      </c>
      <c r="U119">
        <f t="shared" si="5"/>
        <v>2</v>
      </c>
    </row>
    <row r="120" spans="1:21" x14ac:dyDescent="0.15">
      <c r="A120" s="44" t="s">
        <v>110</v>
      </c>
      <c r="C120" s="44" t="s">
        <v>111</v>
      </c>
      <c r="D120" t="str">
        <f>VLOOKUP(Q120,PROVINCIAS!B$3:$D$70,2,0)</f>
        <v>42</v>
      </c>
      <c r="E120" s="20" t="s">
        <v>108</v>
      </c>
      <c r="F120">
        <f t="shared" si="3"/>
        <v>80</v>
      </c>
      <c r="G120" s="44">
        <v>25</v>
      </c>
      <c r="I120" s="29">
        <f>VLOOKUP(Q120,PROVINCIAS!B$2:$D$70,3,FALSE)</f>
        <v>8</v>
      </c>
      <c r="K120" s="20" t="str">
        <f t="shared" si="4"/>
        <v>F</v>
      </c>
      <c r="Q120" s="44" t="s">
        <v>144</v>
      </c>
      <c r="R120">
        <v>0</v>
      </c>
      <c r="S120">
        <v>0</v>
      </c>
      <c r="U120">
        <f t="shared" si="5"/>
        <v>2</v>
      </c>
    </row>
    <row r="121" spans="1:21" x14ac:dyDescent="0.15">
      <c r="A121" s="44" t="s">
        <v>110</v>
      </c>
      <c r="C121" s="44" t="s">
        <v>111</v>
      </c>
      <c r="D121" t="str">
        <f>VLOOKUP(Q121,PROVINCIAS!B$3:$D$70,2,0)</f>
        <v>28</v>
      </c>
      <c r="E121" s="20" t="s">
        <v>108</v>
      </c>
      <c r="F121">
        <f t="shared" si="3"/>
        <v>80</v>
      </c>
      <c r="G121" s="45">
        <v>30</v>
      </c>
      <c r="I121" s="29">
        <f>VLOOKUP(Q121,PROVINCIAS!B$2:$D$70,3,FALSE)</f>
        <v>12</v>
      </c>
      <c r="K121" s="20" t="str">
        <f t="shared" si="4"/>
        <v>F</v>
      </c>
      <c r="Q121" s="45" t="s">
        <v>112</v>
      </c>
      <c r="R121">
        <v>0</v>
      </c>
      <c r="S121">
        <v>0</v>
      </c>
      <c r="U121">
        <f t="shared" si="5"/>
        <v>2</v>
      </c>
    </row>
    <row r="122" spans="1:21" x14ac:dyDescent="0.15">
      <c r="A122" s="44" t="s">
        <v>110</v>
      </c>
      <c r="C122" s="44" t="s">
        <v>111</v>
      </c>
      <c r="D122" t="str">
        <f>VLOOKUP(Q122,PROVINCIAS!B$3:$D$70,2,0)</f>
        <v>14</v>
      </c>
      <c r="E122" s="20" t="s">
        <v>108</v>
      </c>
      <c r="F122">
        <f t="shared" si="3"/>
        <v>80</v>
      </c>
      <c r="G122" s="44">
        <v>90</v>
      </c>
      <c r="I122" s="29">
        <f>VLOOKUP(Q122,PROVINCIAS!B$2:$D$70,3,FALSE)</f>
        <v>1</v>
      </c>
      <c r="K122" s="20" t="str">
        <f t="shared" si="4"/>
        <v>F</v>
      </c>
      <c r="Q122" s="44" t="s">
        <v>137</v>
      </c>
      <c r="R122">
        <v>0</v>
      </c>
      <c r="S122">
        <v>0</v>
      </c>
      <c r="U122">
        <f t="shared" si="5"/>
        <v>2</v>
      </c>
    </row>
    <row r="123" spans="1:21" x14ac:dyDescent="0.15">
      <c r="A123" s="44" t="s">
        <v>110</v>
      </c>
      <c r="C123" s="44" t="s">
        <v>111</v>
      </c>
      <c r="D123" t="str">
        <f>VLOOKUP(Q123,PROVINCIAS!B$3:$D$70,2,0)</f>
        <v>34</v>
      </c>
      <c r="E123" s="20" t="s">
        <v>108</v>
      </c>
      <c r="F123">
        <f t="shared" si="3"/>
        <v>80</v>
      </c>
      <c r="G123" s="45">
        <v>50</v>
      </c>
      <c r="I123" s="29">
        <f>VLOOKUP(Q123,PROVINCIAS!B$2:$D$70,3,FALSE)</f>
        <v>8</v>
      </c>
      <c r="K123" s="20" t="str">
        <f t="shared" si="4"/>
        <v>F</v>
      </c>
      <c r="Q123" s="45" t="s">
        <v>123</v>
      </c>
      <c r="R123">
        <v>0</v>
      </c>
      <c r="S123">
        <v>0</v>
      </c>
      <c r="U123">
        <f t="shared" si="5"/>
        <v>2</v>
      </c>
    </row>
    <row r="124" spans="1:21" x14ac:dyDescent="0.15">
      <c r="A124" s="44" t="s">
        <v>110</v>
      </c>
      <c r="C124" s="44" t="s">
        <v>111</v>
      </c>
      <c r="D124" t="str">
        <f>VLOOKUP(Q124,PROVINCIAS!B$3:$D$70,2,0)</f>
        <v>42</v>
      </c>
      <c r="E124" s="20" t="s">
        <v>108</v>
      </c>
      <c r="F124">
        <f t="shared" si="3"/>
        <v>80</v>
      </c>
      <c r="G124" s="44">
        <v>25</v>
      </c>
      <c r="I124" s="29">
        <f>VLOOKUP(Q124,PROVINCIAS!B$2:$D$70,3,FALSE)</f>
        <v>8</v>
      </c>
      <c r="K124" s="20" t="str">
        <f t="shared" si="4"/>
        <v>F</v>
      </c>
      <c r="Q124" s="44" t="s">
        <v>144</v>
      </c>
      <c r="R124">
        <v>0</v>
      </c>
      <c r="S124">
        <v>0</v>
      </c>
      <c r="U124">
        <f t="shared" si="5"/>
        <v>2</v>
      </c>
    </row>
    <row r="125" spans="1:21" x14ac:dyDescent="0.15">
      <c r="A125" s="44" t="s">
        <v>110</v>
      </c>
      <c r="C125" s="44" t="s">
        <v>111</v>
      </c>
      <c r="D125" t="str">
        <f>VLOOKUP(Q125,PROVINCIAS!B$3:$D$70,2,0)</f>
        <v>28</v>
      </c>
      <c r="E125" s="20" t="s">
        <v>108</v>
      </c>
      <c r="F125">
        <f t="shared" si="3"/>
        <v>80</v>
      </c>
      <c r="G125" s="45">
        <v>25</v>
      </c>
      <c r="I125" s="29">
        <f>VLOOKUP(Q125,PROVINCIAS!B$2:$D$70,3,FALSE)</f>
        <v>12</v>
      </c>
      <c r="K125" s="20" t="str">
        <f t="shared" si="4"/>
        <v>F</v>
      </c>
      <c r="Q125" s="45" t="s">
        <v>112</v>
      </c>
      <c r="R125">
        <v>0</v>
      </c>
      <c r="S125">
        <v>0</v>
      </c>
      <c r="U125">
        <f t="shared" si="5"/>
        <v>2</v>
      </c>
    </row>
    <row r="126" spans="1:21" x14ac:dyDescent="0.15">
      <c r="A126" s="44" t="s">
        <v>110</v>
      </c>
      <c r="C126" s="44" t="s">
        <v>111</v>
      </c>
      <c r="D126" t="str">
        <f>VLOOKUP(Q126,PROVINCIAS!B$3:$D$70,2,0)</f>
        <v>01</v>
      </c>
      <c r="E126" s="20" t="s">
        <v>108</v>
      </c>
      <c r="F126">
        <f t="shared" si="3"/>
        <v>80</v>
      </c>
      <c r="G126" s="44">
        <v>25</v>
      </c>
      <c r="I126" s="29">
        <f>VLOOKUP(Q126,PROVINCIAS!B$2:$D$70,3,FALSE)</f>
        <v>0</v>
      </c>
      <c r="K126" s="20" t="str">
        <f t="shared" si="4"/>
        <v>F</v>
      </c>
      <c r="Q126" s="44" t="s">
        <v>131</v>
      </c>
      <c r="R126">
        <v>0</v>
      </c>
      <c r="S126">
        <v>0</v>
      </c>
      <c r="U126">
        <f t="shared" si="5"/>
        <v>2</v>
      </c>
    </row>
    <row r="127" spans="1:21" x14ac:dyDescent="0.15">
      <c r="A127" s="44" t="s">
        <v>110</v>
      </c>
      <c r="C127" s="44" t="s">
        <v>111</v>
      </c>
      <c r="D127" t="str">
        <f>VLOOKUP(Q127,PROVINCIAS!B$3:$D$70,2,0)</f>
        <v>33</v>
      </c>
      <c r="E127" s="20" t="s">
        <v>108</v>
      </c>
      <c r="F127">
        <f t="shared" si="3"/>
        <v>80</v>
      </c>
      <c r="G127" s="45">
        <v>25</v>
      </c>
      <c r="I127" s="29">
        <f>VLOOKUP(Q127,PROVINCIAS!B$2:$D$70,3,FALSE)</f>
        <v>3</v>
      </c>
      <c r="K127" s="20" t="str">
        <f t="shared" si="4"/>
        <v>F</v>
      </c>
      <c r="Q127" s="45" t="s">
        <v>117</v>
      </c>
      <c r="R127">
        <v>0</v>
      </c>
      <c r="S127">
        <v>0</v>
      </c>
      <c r="U127">
        <f t="shared" si="5"/>
        <v>2</v>
      </c>
    </row>
    <row r="128" spans="1:21" x14ac:dyDescent="0.15">
      <c r="A128" s="44" t="s">
        <v>110</v>
      </c>
      <c r="C128" s="44" t="s">
        <v>111</v>
      </c>
      <c r="D128" t="str">
        <f>VLOOKUP(Q128,PROVINCIAS!B$3:$D$70,2,0)</f>
        <v>10</v>
      </c>
      <c r="E128" s="20" t="s">
        <v>108</v>
      </c>
      <c r="F128">
        <f t="shared" si="3"/>
        <v>80</v>
      </c>
      <c r="G128" s="45">
        <v>25</v>
      </c>
      <c r="I128" s="29">
        <f>VLOOKUP(Q128,PROVINCIAS!B$2:$D$70,3,FALSE)</f>
        <v>10</v>
      </c>
      <c r="K128" s="20" t="str">
        <f t="shared" si="4"/>
        <v>F</v>
      </c>
      <c r="Q128" s="45" t="s">
        <v>121</v>
      </c>
      <c r="R128">
        <v>0</v>
      </c>
      <c r="S128">
        <v>0</v>
      </c>
      <c r="U128">
        <f t="shared" si="5"/>
        <v>2</v>
      </c>
    </row>
    <row r="129" spans="1:21" x14ac:dyDescent="0.15">
      <c r="A129" s="44" t="s">
        <v>110</v>
      </c>
      <c r="C129" s="44" t="s">
        <v>111</v>
      </c>
      <c r="D129" t="str">
        <f>VLOOKUP(Q129,PROVINCIAS!B$3:$D$70,2,0)</f>
        <v>10</v>
      </c>
      <c r="E129" s="20" t="s">
        <v>108</v>
      </c>
      <c r="F129">
        <f t="shared" si="3"/>
        <v>80</v>
      </c>
      <c r="G129" s="45">
        <v>25</v>
      </c>
      <c r="I129" s="29">
        <f>VLOOKUP(Q129,PROVINCIAS!B$2:$D$70,3,FALSE)</f>
        <v>10</v>
      </c>
      <c r="K129" s="20" t="str">
        <f t="shared" si="4"/>
        <v>F</v>
      </c>
      <c r="Q129" s="45" t="s">
        <v>121</v>
      </c>
      <c r="R129">
        <v>0</v>
      </c>
      <c r="S129">
        <v>0</v>
      </c>
      <c r="U129">
        <f t="shared" si="5"/>
        <v>2</v>
      </c>
    </row>
    <row r="130" spans="1:21" x14ac:dyDescent="0.15">
      <c r="A130" s="44" t="s">
        <v>110</v>
      </c>
      <c r="C130" s="44" t="s">
        <v>111</v>
      </c>
      <c r="D130" t="str">
        <f>VLOOKUP(Q130,PROVINCIAS!B$3:$D$70,2,0)</f>
        <v>48</v>
      </c>
      <c r="E130" s="20" t="s">
        <v>108</v>
      </c>
      <c r="F130">
        <f t="shared" si="3"/>
        <v>80</v>
      </c>
      <c r="G130" s="44">
        <v>30</v>
      </c>
      <c r="I130" s="29">
        <f>VLOOKUP(Q130,PROVINCIAS!B$2:$D$70,3,FALSE)</f>
        <v>0</v>
      </c>
      <c r="K130" s="20" t="str">
        <f t="shared" si="4"/>
        <v>F</v>
      </c>
      <c r="Q130" s="44" t="s">
        <v>142</v>
      </c>
      <c r="R130">
        <v>0</v>
      </c>
      <c r="S130">
        <v>0</v>
      </c>
      <c r="U130">
        <f t="shared" si="5"/>
        <v>2</v>
      </c>
    </row>
    <row r="131" spans="1:21" x14ac:dyDescent="0.15">
      <c r="A131" s="44" t="s">
        <v>110</v>
      </c>
      <c r="C131" s="44" t="s">
        <v>111</v>
      </c>
      <c r="D131" t="str">
        <f>VLOOKUP(Q131,PROVINCIAS!B$3:$D$70,2,0)</f>
        <v>34</v>
      </c>
      <c r="E131" s="20" t="s">
        <v>108</v>
      </c>
      <c r="F131">
        <f t="shared" ref="F131:F194" si="6">GetDeduccion2016(G131,U131,K131)</f>
        <v>80</v>
      </c>
      <c r="G131" s="45">
        <v>30</v>
      </c>
      <c r="I131" s="29">
        <f>VLOOKUP(Q131,PROVINCIAS!B$2:$D$70,3,FALSE)</f>
        <v>8</v>
      </c>
      <c r="K131" s="20" t="str">
        <f t="shared" ref="K131:K194" si="7">GetNaturaleza(A131)</f>
        <v>F</v>
      </c>
      <c r="Q131" s="45" t="s">
        <v>123</v>
      </c>
      <c r="R131">
        <v>0</v>
      </c>
      <c r="S131">
        <v>0</v>
      </c>
      <c r="U131">
        <f t="shared" ref="U131:U194" si="8">GetRecurrente(G131,R131,S131,T131)</f>
        <v>2</v>
      </c>
    </row>
    <row r="132" spans="1:21" x14ac:dyDescent="0.15">
      <c r="A132" s="44" t="s">
        <v>110</v>
      </c>
      <c r="C132" s="44" t="s">
        <v>111</v>
      </c>
      <c r="D132" t="str">
        <f>VLOOKUP(Q132,PROVINCIAS!B$3:$D$70,2,0)</f>
        <v>47</v>
      </c>
      <c r="E132" s="20" t="s">
        <v>108</v>
      </c>
      <c r="F132">
        <f t="shared" si="6"/>
        <v>80</v>
      </c>
      <c r="G132" s="45">
        <v>60</v>
      </c>
      <c r="I132" s="29">
        <f>VLOOKUP(Q132,PROVINCIAS!B$2:$D$70,3,FALSE)</f>
        <v>8</v>
      </c>
      <c r="K132" s="20" t="str">
        <f t="shared" si="7"/>
        <v>F</v>
      </c>
      <c r="Q132" s="45" t="s">
        <v>130</v>
      </c>
      <c r="R132">
        <v>0</v>
      </c>
      <c r="S132">
        <v>0</v>
      </c>
      <c r="U132">
        <f t="shared" si="8"/>
        <v>2</v>
      </c>
    </row>
    <row r="133" spans="1:21" x14ac:dyDescent="0.15">
      <c r="A133" s="44" t="s">
        <v>110</v>
      </c>
      <c r="C133" s="44" t="s">
        <v>111</v>
      </c>
      <c r="D133" t="str">
        <f>VLOOKUP(Q133,PROVINCIAS!B$3:$D$70,2,0)</f>
        <v>17</v>
      </c>
      <c r="E133" s="20" t="s">
        <v>108</v>
      </c>
      <c r="F133">
        <f t="shared" si="6"/>
        <v>80</v>
      </c>
      <c r="G133" s="45">
        <v>25</v>
      </c>
      <c r="I133" s="29">
        <f>VLOOKUP(Q133,PROVINCIAS!B$2:$D$70,3,FALSE)</f>
        <v>9</v>
      </c>
      <c r="K133" s="20" t="str">
        <f t="shared" si="7"/>
        <v>F</v>
      </c>
      <c r="Q133" s="45" t="s">
        <v>145</v>
      </c>
      <c r="R133">
        <v>0</v>
      </c>
      <c r="S133">
        <v>0</v>
      </c>
      <c r="U133">
        <f t="shared" si="8"/>
        <v>2</v>
      </c>
    </row>
    <row r="134" spans="1:21" x14ac:dyDescent="0.15">
      <c r="A134" s="44" t="s">
        <v>110</v>
      </c>
      <c r="C134" s="44" t="s">
        <v>111</v>
      </c>
      <c r="D134" t="str">
        <f>VLOOKUP(Q134,PROVINCIAS!B$3:$D$70,2,0)</f>
        <v>28</v>
      </c>
      <c r="E134" s="20" t="s">
        <v>108</v>
      </c>
      <c r="F134">
        <f t="shared" si="6"/>
        <v>80</v>
      </c>
      <c r="G134" s="44">
        <v>30</v>
      </c>
      <c r="I134" s="29">
        <f>VLOOKUP(Q134,PROVINCIAS!B$2:$D$70,3,FALSE)</f>
        <v>12</v>
      </c>
      <c r="K134" s="20" t="str">
        <f t="shared" si="7"/>
        <v>F</v>
      </c>
      <c r="Q134" s="44" t="s">
        <v>112</v>
      </c>
      <c r="R134">
        <v>0</v>
      </c>
      <c r="S134">
        <v>0</v>
      </c>
      <c r="U134">
        <f t="shared" si="8"/>
        <v>2</v>
      </c>
    </row>
    <row r="135" spans="1:21" x14ac:dyDescent="0.15">
      <c r="A135" s="44" t="s">
        <v>110</v>
      </c>
      <c r="C135" s="44" t="s">
        <v>111</v>
      </c>
      <c r="D135" t="str">
        <f>VLOOKUP(Q135,PROVINCIAS!B$3:$D$70,2,0)</f>
        <v>39</v>
      </c>
      <c r="E135" s="20" t="s">
        <v>108</v>
      </c>
      <c r="F135">
        <f t="shared" si="6"/>
        <v>80</v>
      </c>
      <c r="G135" s="44">
        <v>25</v>
      </c>
      <c r="I135" s="29">
        <f>VLOOKUP(Q135,PROVINCIAS!B$2:$D$70,3,FALSE)</f>
        <v>6</v>
      </c>
      <c r="K135" s="20" t="str">
        <f t="shared" si="7"/>
        <v>F</v>
      </c>
      <c r="Q135" s="44" t="s">
        <v>138</v>
      </c>
      <c r="R135">
        <v>0</v>
      </c>
      <c r="S135">
        <v>0</v>
      </c>
      <c r="U135">
        <f t="shared" si="8"/>
        <v>2</v>
      </c>
    </row>
    <row r="136" spans="1:21" x14ac:dyDescent="0.15">
      <c r="A136" s="44" t="s">
        <v>110</v>
      </c>
      <c r="C136" s="44" t="s">
        <v>111</v>
      </c>
      <c r="D136" t="str">
        <f>VLOOKUP(Q136,PROVINCIAS!B$3:$D$70,2,0)</f>
        <v>39</v>
      </c>
      <c r="E136" s="20" t="s">
        <v>108</v>
      </c>
      <c r="F136">
        <f t="shared" si="6"/>
        <v>80</v>
      </c>
      <c r="G136" s="44">
        <v>25</v>
      </c>
      <c r="I136" s="29">
        <f>VLOOKUP(Q136,PROVINCIAS!B$2:$D$70,3,FALSE)</f>
        <v>6</v>
      </c>
      <c r="K136" s="20" t="str">
        <f t="shared" si="7"/>
        <v>F</v>
      </c>
      <c r="Q136" s="44" t="s">
        <v>138</v>
      </c>
      <c r="R136">
        <v>0</v>
      </c>
      <c r="S136">
        <v>0</v>
      </c>
      <c r="U136">
        <f t="shared" si="8"/>
        <v>2</v>
      </c>
    </row>
    <row r="137" spans="1:21" x14ac:dyDescent="0.15">
      <c r="A137" s="44" t="s">
        <v>110</v>
      </c>
      <c r="C137" s="44" t="s">
        <v>111</v>
      </c>
      <c r="D137" t="str">
        <f>VLOOKUP(Q137,PROVINCIAS!B$3:$D$70,2,0)</f>
        <v>28</v>
      </c>
      <c r="E137" s="20" t="s">
        <v>108</v>
      </c>
      <c r="F137">
        <f t="shared" si="6"/>
        <v>80</v>
      </c>
      <c r="G137" s="44">
        <v>30</v>
      </c>
      <c r="I137" s="29">
        <f>VLOOKUP(Q137,PROVINCIAS!B$2:$D$70,3,FALSE)</f>
        <v>12</v>
      </c>
      <c r="K137" s="20" t="str">
        <f t="shared" si="7"/>
        <v>F</v>
      </c>
      <c r="Q137" s="44" t="s">
        <v>112</v>
      </c>
      <c r="R137">
        <v>0</v>
      </c>
      <c r="S137">
        <v>0</v>
      </c>
      <c r="U137">
        <f t="shared" si="8"/>
        <v>2</v>
      </c>
    </row>
    <row r="138" spans="1:21" x14ac:dyDescent="0.15">
      <c r="A138" s="44" t="s">
        <v>110</v>
      </c>
      <c r="C138" s="44" t="s">
        <v>111</v>
      </c>
      <c r="D138" t="str">
        <f>VLOOKUP(Q138,PROVINCIAS!B$3:$D$70,2,0)</f>
        <v>43</v>
      </c>
      <c r="E138" s="20" t="s">
        <v>108</v>
      </c>
      <c r="F138">
        <f t="shared" si="6"/>
        <v>80</v>
      </c>
      <c r="G138" s="44">
        <v>30</v>
      </c>
      <c r="I138" s="29">
        <f>VLOOKUP(Q138,PROVINCIAS!B$2:$D$70,3,FALSE)</f>
        <v>9</v>
      </c>
      <c r="K138" s="20" t="str">
        <f t="shared" si="7"/>
        <v>F</v>
      </c>
      <c r="Q138" s="44" t="s">
        <v>135</v>
      </c>
      <c r="R138">
        <v>0</v>
      </c>
      <c r="S138">
        <v>0</v>
      </c>
      <c r="U138">
        <f t="shared" si="8"/>
        <v>2</v>
      </c>
    </row>
    <row r="139" spans="1:21" x14ac:dyDescent="0.15">
      <c r="A139" s="44" t="s">
        <v>110</v>
      </c>
      <c r="C139" s="44" t="s">
        <v>111</v>
      </c>
      <c r="D139" t="str">
        <f>VLOOKUP(Q139,PROVINCIAS!B$3:$D$70,2,0)</f>
        <v>17</v>
      </c>
      <c r="E139" s="20" t="s">
        <v>108</v>
      </c>
      <c r="F139">
        <f t="shared" si="6"/>
        <v>80</v>
      </c>
      <c r="G139" s="45">
        <v>50</v>
      </c>
      <c r="I139" s="29">
        <f>VLOOKUP(Q139,PROVINCIAS!B$2:$D$70,3,FALSE)</f>
        <v>9</v>
      </c>
      <c r="K139" s="20" t="str">
        <f t="shared" si="7"/>
        <v>F</v>
      </c>
      <c r="Q139" s="45" t="s">
        <v>145</v>
      </c>
      <c r="R139">
        <v>0</v>
      </c>
      <c r="S139">
        <v>0</v>
      </c>
      <c r="U139">
        <f t="shared" si="8"/>
        <v>2</v>
      </c>
    </row>
    <row r="140" spans="1:21" x14ac:dyDescent="0.15">
      <c r="A140" s="44" t="s">
        <v>110</v>
      </c>
      <c r="C140" s="44" t="s">
        <v>111</v>
      </c>
      <c r="D140" t="str">
        <f>VLOOKUP(Q140,PROVINCIAS!B$3:$D$70,2,0)</f>
        <v>39</v>
      </c>
      <c r="E140" s="20" t="s">
        <v>108</v>
      </c>
      <c r="F140">
        <f t="shared" si="6"/>
        <v>80</v>
      </c>
      <c r="G140" s="45">
        <v>100</v>
      </c>
      <c r="I140" s="29">
        <f>VLOOKUP(Q140,PROVINCIAS!B$2:$D$70,3,FALSE)</f>
        <v>6</v>
      </c>
      <c r="K140" s="20" t="str">
        <f t="shared" si="7"/>
        <v>F</v>
      </c>
      <c r="Q140" s="45" t="s">
        <v>138</v>
      </c>
      <c r="R140">
        <v>0</v>
      </c>
      <c r="S140">
        <v>0</v>
      </c>
      <c r="U140">
        <f t="shared" si="8"/>
        <v>2</v>
      </c>
    </row>
    <row r="141" spans="1:21" x14ac:dyDescent="0.15">
      <c r="A141" s="44" t="s">
        <v>110</v>
      </c>
      <c r="C141" s="44" t="s">
        <v>111</v>
      </c>
      <c r="D141" t="str">
        <f>VLOOKUP(Q141,PROVINCIAS!B$3:$D$70,2,0)</f>
        <v>13</v>
      </c>
      <c r="E141" s="20" t="s">
        <v>108</v>
      </c>
      <c r="F141">
        <f t="shared" si="6"/>
        <v>80</v>
      </c>
      <c r="G141" s="45">
        <v>25</v>
      </c>
      <c r="I141" s="29">
        <f>VLOOKUP(Q141,PROVINCIAS!B$2:$D$70,3,FALSE)</f>
        <v>7</v>
      </c>
      <c r="K141" s="20" t="str">
        <f t="shared" si="7"/>
        <v>F</v>
      </c>
      <c r="Q141" s="45" t="s">
        <v>146</v>
      </c>
      <c r="R141">
        <v>0</v>
      </c>
      <c r="S141">
        <v>0</v>
      </c>
      <c r="U141">
        <f t="shared" si="8"/>
        <v>2</v>
      </c>
    </row>
    <row r="142" spans="1:21" x14ac:dyDescent="0.15">
      <c r="A142" s="44" t="s">
        <v>110</v>
      </c>
      <c r="C142" s="44" t="s">
        <v>111</v>
      </c>
      <c r="D142">
        <f>VLOOKUP(Q142,PROVINCIAS!B$3:$D$70,2,0)</f>
        <v>15</v>
      </c>
      <c r="E142" s="20" t="s">
        <v>108</v>
      </c>
      <c r="F142">
        <f t="shared" si="6"/>
        <v>80</v>
      </c>
      <c r="G142" s="44">
        <v>25</v>
      </c>
      <c r="I142" s="29">
        <f>VLOOKUP(Q142,PROVINCIAS!B$2:$D$70,3,FALSE)</f>
        <v>11</v>
      </c>
      <c r="K142" s="20" t="str">
        <f t="shared" si="7"/>
        <v>F</v>
      </c>
      <c r="Q142" s="44" t="s">
        <v>147</v>
      </c>
      <c r="R142">
        <v>0</v>
      </c>
      <c r="S142">
        <v>0</v>
      </c>
      <c r="U142">
        <f t="shared" si="8"/>
        <v>2</v>
      </c>
    </row>
    <row r="143" spans="1:21" x14ac:dyDescent="0.15">
      <c r="A143" s="44" t="s">
        <v>110</v>
      </c>
      <c r="C143" s="44" t="s">
        <v>111</v>
      </c>
      <c r="D143">
        <f>VLOOKUP(Q143,PROVINCIAS!B$3:$D$70,2,0)</f>
        <v>17</v>
      </c>
      <c r="E143" s="20" t="s">
        <v>108</v>
      </c>
      <c r="F143">
        <f t="shared" si="6"/>
        <v>80</v>
      </c>
      <c r="G143" s="45">
        <v>100</v>
      </c>
      <c r="I143" s="29">
        <f>VLOOKUP(Q143,PROVINCIAS!B$2:$D$70,3,FALSE)</f>
        <v>9</v>
      </c>
      <c r="K143" s="20" t="str">
        <f t="shared" si="7"/>
        <v>F</v>
      </c>
      <c r="Q143" s="45" t="s">
        <v>148</v>
      </c>
      <c r="R143">
        <v>0</v>
      </c>
      <c r="S143">
        <v>0</v>
      </c>
      <c r="U143">
        <f t="shared" si="8"/>
        <v>2</v>
      </c>
    </row>
    <row r="144" spans="1:21" x14ac:dyDescent="0.15">
      <c r="A144" s="44" t="s">
        <v>110</v>
      </c>
      <c r="C144" s="44" t="s">
        <v>111</v>
      </c>
      <c r="D144" t="str">
        <f>VLOOKUP(Q144,PROVINCIAS!B$3:$D$70,2,0)</f>
        <v>28</v>
      </c>
      <c r="E144" s="20" t="s">
        <v>108</v>
      </c>
      <c r="F144">
        <f t="shared" si="6"/>
        <v>80</v>
      </c>
      <c r="G144" s="45">
        <v>90</v>
      </c>
      <c r="I144" s="29">
        <f>VLOOKUP(Q144,PROVINCIAS!B$2:$D$70,3,FALSE)</f>
        <v>12</v>
      </c>
      <c r="K144" s="20" t="str">
        <f t="shared" si="7"/>
        <v>F</v>
      </c>
      <c r="Q144" s="45" t="s">
        <v>112</v>
      </c>
      <c r="R144">
        <v>0</v>
      </c>
      <c r="S144">
        <v>0</v>
      </c>
      <c r="U144">
        <f t="shared" si="8"/>
        <v>2</v>
      </c>
    </row>
    <row r="145" spans="1:21" x14ac:dyDescent="0.15">
      <c r="A145" s="44" t="s">
        <v>110</v>
      </c>
      <c r="C145" s="44" t="s">
        <v>111</v>
      </c>
      <c r="D145" t="str">
        <f>VLOOKUP(Q145,PROVINCIAS!B$3:$D$70,2,0)</f>
        <v>28</v>
      </c>
      <c r="E145" s="20" t="s">
        <v>108</v>
      </c>
      <c r="F145">
        <f t="shared" si="6"/>
        <v>80</v>
      </c>
      <c r="G145" s="45">
        <v>30</v>
      </c>
      <c r="I145" s="29">
        <f>VLOOKUP(Q145,PROVINCIAS!B$2:$D$70,3,FALSE)</f>
        <v>12</v>
      </c>
      <c r="K145" s="20" t="str">
        <f t="shared" si="7"/>
        <v>F</v>
      </c>
      <c r="Q145" s="45" t="s">
        <v>112</v>
      </c>
      <c r="R145">
        <v>0</v>
      </c>
      <c r="S145">
        <v>0</v>
      </c>
      <c r="U145">
        <f t="shared" si="8"/>
        <v>2</v>
      </c>
    </row>
    <row r="146" spans="1:21" x14ac:dyDescent="0.15">
      <c r="A146" s="44" t="s">
        <v>110</v>
      </c>
      <c r="C146" s="44" t="s">
        <v>111</v>
      </c>
      <c r="D146" t="str">
        <f>VLOOKUP(Q146,PROVINCIAS!B$3:$D$70,2,0)</f>
        <v>28</v>
      </c>
      <c r="E146" s="20" t="s">
        <v>108</v>
      </c>
      <c r="F146">
        <f t="shared" si="6"/>
        <v>80</v>
      </c>
      <c r="G146" s="45">
        <v>25</v>
      </c>
      <c r="I146" s="29">
        <f>VLOOKUP(Q146,PROVINCIAS!B$2:$D$70,3,FALSE)</f>
        <v>12</v>
      </c>
      <c r="K146" s="20" t="str">
        <f t="shared" si="7"/>
        <v>F</v>
      </c>
      <c r="Q146" s="45" t="s">
        <v>112</v>
      </c>
      <c r="R146">
        <v>0</v>
      </c>
      <c r="S146">
        <v>0</v>
      </c>
      <c r="U146">
        <f t="shared" si="8"/>
        <v>2</v>
      </c>
    </row>
    <row r="147" spans="1:21" x14ac:dyDescent="0.15">
      <c r="A147" s="44" t="s">
        <v>110</v>
      </c>
      <c r="C147" s="44" t="s">
        <v>111</v>
      </c>
      <c r="D147" t="str">
        <f>VLOOKUP(Q147,PROVINCIAS!B$3:$D$70,2,0)</f>
        <v>28</v>
      </c>
      <c r="E147" s="20" t="s">
        <v>108</v>
      </c>
      <c r="F147">
        <f t="shared" si="6"/>
        <v>80</v>
      </c>
      <c r="G147" s="44">
        <v>25</v>
      </c>
      <c r="I147" s="29">
        <f>VLOOKUP(Q147,PROVINCIAS!B$2:$D$70,3,FALSE)</f>
        <v>12</v>
      </c>
      <c r="K147" s="20" t="str">
        <f t="shared" si="7"/>
        <v>F</v>
      </c>
      <c r="Q147" s="44" t="s">
        <v>112</v>
      </c>
      <c r="R147">
        <v>0</v>
      </c>
      <c r="S147">
        <v>0</v>
      </c>
      <c r="U147">
        <f t="shared" si="8"/>
        <v>2</v>
      </c>
    </row>
    <row r="148" spans="1:21" x14ac:dyDescent="0.15">
      <c r="A148" s="44" t="s">
        <v>110</v>
      </c>
      <c r="C148" s="44" t="s">
        <v>111</v>
      </c>
      <c r="D148" t="str">
        <f>VLOOKUP(Q148,PROVINCIAS!B$3:$D$70,2,0)</f>
        <v>28</v>
      </c>
      <c r="E148" s="20" t="s">
        <v>108</v>
      </c>
      <c r="F148">
        <f t="shared" si="6"/>
        <v>80</v>
      </c>
      <c r="G148" s="44">
        <v>25</v>
      </c>
      <c r="I148" s="29">
        <f>VLOOKUP(Q148,PROVINCIAS!B$2:$D$70,3,FALSE)</f>
        <v>12</v>
      </c>
      <c r="K148" s="20" t="str">
        <f t="shared" si="7"/>
        <v>F</v>
      </c>
      <c r="Q148" s="44" t="s">
        <v>112</v>
      </c>
      <c r="R148">
        <v>0</v>
      </c>
      <c r="S148">
        <v>0</v>
      </c>
      <c r="U148">
        <f t="shared" si="8"/>
        <v>2</v>
      </c>
    </row>
    <row r="149" spans="1:21" x14ac:dyDescent="0.15">
      <c r="A149" s="44" t="s">
        <v>110</v>
      </c>
      <c r="C149" s="44" t="s">
        <v>111</v>
      </c>
      <c r="D149" t="str">
        <f>VLOOKUP(Q149,PROVINCIAS!B$3:$D$70,2,0)</f>
        <v>33</v>
      </c>
      <c r="E149" s="20" t="s">
        <v>108</v>
      </c>
      <c r="F149">
        <f t="shared" si="6"/>
        <v>35</v>
      </c>
      <c r="G149" s="44">
        <v>160</v>
      </c>
      <c r="I149" s="29">
        <f>VLOOKUP(Q149,PROVINCIAS!B$2:$D$70,3,FALSE)</f>
        <v>3</v>
      </c>
      <c r="K149" s="20" t="str">
        <f t="shared" si="7"/>
        <v>F</v>
      </c>
      <c r="Q149" s="44" t="s">
        <v>117</v>
      </c>
      <c r="R149">
        <v>0</v>
      </c>
      <c r="S149">
        <v>0</v>
      </c>
      <c r="U149">
        <f t="shared" si="8"/>
        <v>2</v>
      </c>
    </row>
    <row r="150" spans="1:21" x14ac:dyDescent="0.15">
      <c r="A150" s="44" t="s">
        <v>110</v>
      </c>
      <c r="C150" s="44" t="s">
        <v>111</v>
      </c>
      <c r="D150" t="str">
        <f>VLOOKUP(Q150,PROVINCIAS!B$3:$D$70,2,0)</f>
        <v>43</v>
      </c>
      <c r="E150" s="20" t="s">
        <v>108</v>
      </c>
      <c r="F150">
        <f t="shared" si="6"/>
        <v>80</v>
      </c>
      <c r="G150" s="45">
        <v>100</v>
      </c>
      <c r="I150" s="29">
        <f>VLOOKUP(Q150,PROVINCIAS!B$2:$D$70,3,FALSE)</f>
        <v>9</v>
      </c>
      <c r="K150" s="20" t="str">
        <f t="shared" si="7"/>
        <v>F</v>
      </c>
      <c r="Q150" s="45" t="s">
        <v>135</v>
      </c>
      <c r="R150">
        <v>0</v>
      </c>
      <c r="S150">
        <v>0</v>
      </c>
      <c r="U150">
        <f t="shared" si="8"/>
        <v>2</v>
      </c>
    </row>
    <row r="151" spans="1:21" x14ac:dyDescent="0.15">
      <c r="A151" s="44" t="s">
        <v>110</v>
      </c>
      <c r="C151" s="44" t="s">
        <v>111</v>
      </c>
      <c r="D151" t="str">
        <f>VLOOKUP(Q151,PROVINCIAS!B$3:$D$70,2,0)</f>
        <v>46</v>
      </c>
      <c r="E151" s="20" t="s">
        <v>108</v>
      </c>
      <c r="F151">
        <f t="shared" si="6"/>
        <v>80</v>
      </c>
      <c r="G151" s="44">
        <v>100</v>
      </c>
      <c r="I151" s="29">
        <f>VLOOKUP(Q151,PROVINCIAS!B$2:$D$70,3,FALSE)</f>
        <v>17</v>
      </c>
      <c r="K151" s="20" t="str">
        <f t="shared" si="7"/>
        <v>F</v>
      </c>
      <c r="Q151" s="44" t="s">
        <v>120</v>
      </c>
      <c r="R151">
        <v>0</v>
      </c>
      <c r="S151">
        <v>0</v>
      </c>
      <c r="U151">
        <f t="shared" si="8"/>
        <v>2</v>
      </c>
    </row>
    <row r="152" spans="1:21" x14ac:dyDescent="0.15">
      <c r="A152" s="44" t="s">
        <v>110</v>
      </c>
      <c r="C152" s="44" t="s">
        <v>111</v>
      </c>
      <c r="D152" t="str">
        <f>VLOOKUP(Q152,PROVINCIAS!B$3:$D$70,2,0)</f>
        <v>08</v>
      </c>
      <c r="E152" s="20" t="s">
        <v>108</v>
      </c>
      <c r="F152">
        <f t="shared" si="6"/>
        <v>80</v>
      </c>
      <c r="G152" s="44">
        <v>100</v>
      </c>
      <c r="I152" s="29">
        <f>VLOOKUP(Q152,PROVINCIAS!B$2:$D$70,3,FALSE)</f>
        <v>9</v>
      </c>
      <c r="K152" s="20" t="str">
        <f t="shared" si="7"/>
        <v>F</v>
      </c>
      <c r="Q152" s="44" t="s">
        <v>128</v>
      </c>
      <c r="R152">
        <v>0</v>
      </c>
      <c r="S152">
        <v>0</v>
      </c>
      <c r="U152">
        <f t="shared" si="8"/>
        <v>2</v>
      </c>
    </row>
    <row r="153" spans="1:21" x14ac:dyDescent="0.15">
      <c r="A153" s="44" t="s">
        <v>110</v>
      </c>
      <c r="C153" s="44" t="s">
        <v>111</v>
      </c>
      <c r="D153" t="str">
        <f>VLOOKUP(Q153,PROVINCIAS!B$3:$D$70,2,0)</f>
        <v>33</v>
      </c>
      <c r="E153" s="20" t="s">
        <v>108</v>
      </c>
      <c r="F153">
        <f t="shared" si="6"/>
        <v>80</v>
      </c>
      <c r="G153" s="45">
        <v>25</v>
      </c>
      <c r="I153" s="29">
        <f>VLOOKUP(Q153,PROVINCIAS!B$2:$D$70,3,FALSE)</f>
        <v>3</v>
      </c>
      <c r="K153" s="20" t="str">
        <f t="shared" si="7"/>
        <v>F</v>
      </c>
      <c r="Q153" s="45" t="s">
        <v>117</v>
      </c>
      <c r="R153">
        <v>0</v>
      </c>
      <c r="S153">
        <v>0</v>
      </c>
      <c r="U153">
        <f t="shared" si="8"/>
        <v>2</v>
      </c>
    </row>
    <row r="154" spans="1:21" x14ac:dyDescent="0.15">
      <c r="A154" s="44" t="s">
        <v>110</v>
      </c>
      <c r="C154" s="44" t="s">
        <v>111</v>
      </c>
      <c r="D154" t="str">
        <f>VLOOKUP(Q154,PROVINCIAS!B$3:$D$70,2,0)</f>
        <v>28</v>
      </c>
      <c r="E154" s="20" t="s">
        <v>108</v>
      </c>
      <c r="F154">
        <f t="shared" si="6"/>
        <v>80</v>
      </c>
      <c r="G154" s="44">
        <v>60</v>
      </c>
      <c r="I154" s="29">
        <f>VLOOKUP(Q154,PROVINCIAS!B$2:$D$70,3,FALSE)</f>
        <v>12</v>
      </c>
      <c r="K154" s="20" t="str">
        <f t="shared" si="7"/>
        <v>F</v>
      </c>
      <c r="Q154" s="44" t="s">
        <v>112</v>
      </c>
      <c r="R154">
        <v>0</v>
      </c>
      <c r="S154">
        <v>0</v>
      </c>
      <c r="U154">
        <f t="shared" si="8"/>
        <v>2</v>
      </c>
    </row>
    <row r="155" spans="1:21" x14ac:dyDescent="0.15">
      <c r="A155" s="44" t="s">
        <v>110</v>
      </c>
      <c r="C155" s="44" t="s">
        <v>111</v>
      </c>
      <c r="D155" t="str">
        <f>VLOOKUP(Q155,PROVINCIAS!B$3:$D$70,2,0)</f>
        <v>28</v>
      </c>
      <c r="E155" s="20" t="s">
        <v>108</v>
      </c>
      <c r="F155">
        <f t="shared" si="6"/>
        <v>80</v>
      </c>
      <c r="G155" s="45">
        <v>25</v>
      </c>
      <c r="I155" s="29">
        <f>VLOOKUP(Q155,PROVINCIAS!B$2:$D$70,3,FALSE)</f>
        <v>12</v>
      </c>
      <c r="K155" s="20" t="str">
        <f t="shared" si="7"/>
        <v>F</v>
      </c>
      <c r="Q155" s="45" t="s">
        <v>112</v>
      </c>
      <c r="R155">
        <v>0</v>
      </c>
      <c r="S155">
        <v>0</v>
      </c>
      <c r="U155">
        <f t="shared" si="8"/>
        <v>2</v>
      </c>
    </row>
    <row r="156" spans="1:21" x14ac:dyDescent="0.15">
      <c r="A156" s="44" t="s">
        <v>110</v>
      </c>
      <c r="C156" s="44" t="s">
        <v>111</v>
      </c>
      <c r="D156">
        <f>VLOOKUP(Q156,PROVINCIAS!B$3:$D$70,2,0)</f>
        <v>15</v>
      </c>
      <c r="E156" s="20" t="s">
        <v>108</v>
      </c>
      <c r="F156">
        <f t="shared" si="6"/>
        <v>80</v>
      </c>
      <c r="G156" s="44">
        <v>25</v>
      </c>
      <c r="I156" s="29">
        <f>VLOOKUP(Q156,PROVINCIAS!B$2:$D$70,3,FALSE)</f>
        <v>11</v>
      </c>
      <c r="K156" s="20" t="str">
        <f t="shared" si="7"/>
        <v>F</v>
      </c>
      <c r="Q156" s="44" t="s">
        <v>147</v>
      </c>
      <c r="R156">
        <v>0</v>
      </c>
      <c r="S156">
        <v>0</v>
      </c>
      <c r="U156">
        <f t="shared" si="8"/>
        <v>2</v>
      </c>
    </row>
    <row r="157" spans="1:21" x14ac:dyDescent="0.15">
      <c r="A157" s="44" t="s">
        <v>110</v>
      </c>
      <c r="C157" s="44" t="s">
        <v>111</v>
      </c>
      <c r="D157" t="str">
        <f>VLOOKUP(Q157,PROVINCIAS!B$3:$D$70,2,0)</f>
        <v>46</v>
      </c>
      <c r="E157" s="20" t="s">
        <v>108</v>
      </c>
      <c r="F157">
        <f t="shared" si="6"/>
        <v>80</v>
      </c>
      <c r="G157" s="45">
        <v>30</v>
      </c>
      <c r="I157" s="29">
        <f>VLOOKUP(Q157,PROVINCIAS!B$2:$D$70,3,FALSE)</f>
        <v>17</v>
      </c>
      <c r="K157" s="20" t="str">
        <f t="shared" si="7"/>
        <v>F</v>
      </c>
      <c r="Q157" s="45" t="s">
        <v>120</v>
      </c>
      <c r="R157">
        <v>0</v>
      </c>
      <c r="S157">
        <v>0</v>
      </c>
      <c r="U157">
        <f t="shared" si="8"/>
        <v>2</v>
      </c>
    </row>
    <row r="158" spans="1:21" x14ac:dyDescent="0.15">
      <c r="A158" s="44" t="s">
        <v>110</v>
      </c>
      <c r="C158" s="44" t="s">
        <v>111</v>
      </c>
      <c r="D158" t="str">
        <f>VLOOKUP(Q158,PROVINCIAS!B$3:$D$70,2,0)</f>
        <v>08</v>
      </c>
      <c r="E158" s="20" t="s">
        <v>108</v>
      </c>
      <c r="F158">
        <f t="shared" si="6"/>
        <v>80</v>
      </c>
      <c r="G158" s="45">
        <v>30</v>
      </c>
      <c r="I158" s="29">
        <f>VLOOKUP(Q158,PROVINCIAS!B$2:$D$70,3,FALSE)</f>
        <v>9</v>
      </c>
      <c r="K158" s="20" t="str">
        <f t="shared" si="7"/>
        <v>F</v>
      </c>
      <c r="Q158" s="45" t="s">
        <v>128</v>
      </c>
      <c r="R158">
        <v>0</v>
      </c>
      <c r="S158">
        <v>0</v>
      </c>
      <c r="U158">
        <f t="shared" si="8"/>
        <v>2</v>
      </c>
    </row>
    <row r="159" spans="1:21" x14ac:dyDescent="0.15">
      <c r="A159" s="44" t="s">
        <v>110</v>
      </c>
      <c r="C159" s="44" t="s">
        <v>111</v>
      </c>
      <c r="D159" t="str">
        <f>VLOOKUP(Q159,PROVINCIAS!B$3:$D$70,2,0)</f>
        <v>24</v>
      </c>
      <c r="E159" s="20" t="s">
        <v>108</v>
      </c>
      <c r="F159">
        <f t="shared" si="6"/>
        <v>80</v>
      </c>
      <c r="G159" s="45">
        <v>50</v>
      </c>
      <c r="I159" s="29">
        <f>VLOOKUP(Q159,PROVINCIAS!B$2:$D$70,3,FALSE)</f>
        <v>8</v>
      </c>
      <c r="K159" s="20" t="str">
        <f t="shared" si="7"/>
        <v>F</v>
      </c>
      <c r="Q159" s="45" t="s">
        <v>132</v>
      </c>
      <c r="R159">
        <v>0</v>
      </c>
      <c r="S159">
        <v>0</v>
      </c>
      <c r="U159">
        <f t="shared" si="8"/>
        <v>2</v>
      </c>
    </row>
    <row r="160" spans="1:21" x14ac:dyDescent="0.15">
      <c r="A160" s="44" t="s">
        <v>110</v>
      </c>
      <c r="C160" s="44" t="s">
        <v>111</v>
      </c>
      <c r="D160" t="str">
        <f>VLOOKUP(Q160,PROVINCIAS!B$3:$D$70,2,0)</f>
        <v>03</v>
      </c>
      <c r="E160" s="20" t="s">
        <v>108</v>
      </c>
      <c r="F160">
        <f t="shared" si="6"/>
        <v>80</v>
      </c>
      <c r="G160" s="44">
        <v>50</v>
      </c>
      <c r="I160" s="29">
        <f>VLOOKUP(Q160,PROVINCIAS!B$2:$D$70,3,FALSE)</f>
        <v>17</v>
      </c>
      <c r="K160" s="20" t="str">
        <f t="shared" si="7"/>
        <v>F</v>
      </c>
      <c r="Q160" s="44" t="s">
        <v>118</v>
      </c>
      <c r="R160">
        <v>0</v>
      </c>
      <c r="S160">
        <v>0</v>
      </c>
      <c r="U160">
        <f t="shared" si="8"/>
        <v>2</v>
      </c>
    </row>
    <row r="161" spans="1:21" x14ac:dyDescent="0.15">
      <c r="A161" s="44" t="s">
        <v>110</v>
      </c>
      <c r="C161" s="44" t="s">
        <v>111</v>
      </c>
      <c r="D161">
        <f>VLOOKUP(Q161,PROVINCIAS!B$3:$D$70,2,0)</f>
        <v>48</v>
      </c>
      <c r="E161" s="20" t="s">
        <v>108</v>
      </c>
      <c r="F161">
        <f t="shared" si="6"/>
        <v>80</v>
      </c>
      <c r="G161" s="45">
        <v>60</v>
      </c>
      <c r="I161" s="29">
        <f>VLOOKUP(Q161,PROVINCIAS!B$2:$D$70,3,FALSE)</f>
        <v>0</v>
      </c>
      <c r="K161" s="20" t="str">
        <f t="shared" si="7"/>
        <v>F</v>
      </c>
      <c r="Q161" s="45" t="s">
        <v>149</v>
      </c>
      <c r="R161">
        <v>0</v>
      </c>
      <c r="S161">
        <v>0</v>
      </c>
      <c r="U161">
        <f t="shared" si="8"/>
        <v>2</v>
      </c>
    </row>
    <row r="162" spans="1:21" x14ac:dyDescent="0.15">
      <c r="A162" s="44" t="s">
        <v>110</v>
      </c>
      <c r="C162" s="44" t="s">
        <v>111</v>
      </c>
      <c r="D162" t="str">
        <f>VLOOKUP(Q162,PROVINCIAS!B$3:$D$70,2,0)</f>
        <v>28</v>
      </c>
      <c r="E162" s="20" t="s">
        <v>108</v>
      </c>
      <c r="F162">
        <f t="shared" si="6"/>
        <v>80</v>
      </c>
      <c r="G162" s="45">
        <v>25</v>
      </c>
      <c r="I162" s="29">
        <f>VLOOKUP(Q162,PROVINCIAS!B$2:$D$70,3,FALSE)</f>
        <v>12</v>
      </c>
      <c r="K162" s="20" t="str">
        <f t="shared" si="7"/>
        <v>F</v>
      </c>
      <c r="Q162" s="45" t="s">
        <v>112</v>
      </c>
      <c r="R162">
        <v>0</v>
      </c>
      <c r="S162">
        <v>0</v>
      </c>
      <c r="U162">
        <f t="shared" si="8"/>
        <v>2</v>
      </c>
    </row>
    <row r="163" spans="1:21" x14ac:dyDescent="0.15">
      <c r="A163" s="44" t="s">
        <v>110</v>
      </c>
      <c r="C163" s="44" t="s">
        <v>111</v>
      </c>
      <c r="D163" t="str">
        <f>VLOOKUP(Q163,PROVINCIAS!B$3:$D$70,2,0)</f>
        <v>33</v>
      </c>
      <c r="E163" s="20" t="s">
        <v>108</v>
      </c>
      <c r="F163">
        <f t="shared" si="6"/>
        <v>80</v>
      </c>
      <c r="G163" s="44">
        <v>35</v>
      </c>
      <c r="I163" s="29">
        <f>VLOOKUP(Q163,PROVINCIAS!B$2:$D$70,3,FALSE)</f>
        <v>3</v>
      </c>
      <c r="K163" s="20" t="str">
        <f t="shared" si="7"/>
        <v>F</v>
      </c>
      <c r="Q163" s="44" t="s">
        <v>117</v>
      </c>
      <c r="R163">
        <v>0</v>
      </c>
      <c r="S163">
        <v>0</v>
      </c>
      <c r="U163">
        <f t="shared" si="8"/>
        <v>2</v>
      </c>
    </row>
    <row r="164" spans="1:21" x14ac:dyDescent="0.15">
      <c r="A164" s="44" t="s">
        <v>110</v>
      </c>
      <c r="C164" s="44" t="s">
        <v>111</v>
      </c>
      <c r="D164" t="str">
        <f>VLOOKUP(Q164,PROVINCIAS!B$3:$D$70,2,0)</f>
        <v>21</v>
      </c>
      <c r="E164" s="20" t="s">
        <v>108</v>
      </c>
      <c r="F164">
        <f t="shared" si="6"/>
        <v>80</v>
      </c>
      <c r="G164" s="45">
        <v>25</v>
      </c>
      <c r="I164" s="29">
        <f>VLOOKUP(Q164,PROVINCIAS!B$2:$D$70,3,FALSE)</f>
        <v>1</v>
      </c>
      <c r="K164" s="20" t="str">
        <f t="shared" si="7"/>
        <v>F</v>
      </c>
      <c r="Q164" s="45" t="s">
        <v>150</v>
      </c>
      <c r="R164">
        <v>0</v>
      </c>
      <c r="S164">
        <v>0</v>
      </c>
      <c r="U164">
        <f t="shared" si="8"/>
        <v>2</v>
      </c>
    </row>
    <row r="165" spans="1:21" x14ac:dyDescent="0.15">
      <c r="A165" s="44" t="s">
        <v>110</v>
      </c>
      <c r="C165" s="44" t="s">
        <v>111</v>
      </c>
      <c r="D165" t="str">
        <f>VLOOKUP(Q165,PROVINCIAS!B$3:$D$70,2,0)</f>
        <v>28</v>
      </c>
      <c r="E165" s="20" t="s">
        <v>108</v>
      </c>
      <c r="F165">
        <f t="shared" si="6"/>
        <v>80</v>
      </c>
      <c r="G165" s="44">
        <v>30</v>
      </c>
      <c r="I165" s="29">
        <f>VLOOKUP(Q165,PROVINCIAS!B$2:$D$70,3,FALSE)</f>
        <v>12</v>
      </c>
      <c r="K165" s="20" t="str">
        <f t="shared" si="7"/>
        <v>F</v>
      </c>
      <c r="Q165" s="44" t="s">
        <v>112</v>
      </c>
      <c r="R165">
        <v>0</v>
      </c>
      <c r="S165">
        <v>0</v>
      </c>
      <c r="U165">
        <f t="shared" si="8"/>
        <v>2</v>
      </c>
    </row>
    <row r="166" spans="1:21" x14ac:dyDescent="0.15">
      <c r="A166" s="44" t="s">
        <v>110</v>
      </c>
      <c r="C166" s="44" t="s">
        <v>111</v>
      </c>
      <c r="D166" t="str">
        <f>VLOOKUP(Q166,PROVINCIAS!B$3:$D$70,2,0)</f>
        <v>04</v>
      </c>
      <c r="E166" s="20" t="s">
        <v>108</v>
      </c>
      <c r="F166">
        <f t="shared" si="6"/>
        <v>80</v>
      </c>
      <c r="G166" s="44">
        <v>30</v>
      </c>
      <c r="I166" s="29">
        <f>VLOOKUP(Q166,PROVINCIAS!B$2:$D$70,3,FALSE)</f>
        <v>1</v>
      </c>
      <c r="K166" s="20" t="str">
        <f t="shared" si="7"/>
        <v>F</v>
      </c>
      <c r="Q166" s="44" t="s">
        <v>151</v>
      </c>
      <c r="R166">
        <v>0</v>
      </c>
      <c r="S166">
        <v>0</v>
      </c>
      <c r="U166">
        <f t="shared" si="8"/>
        <v>2</v>
      </c>
    </row>
    <row r="167" spans="1:21" x14ac:dyDescent="0.15">
      <c r="A167" s="44" t="s">
        <v>110</v>
      </c>
      <c r="C167" s="44" t="s">
        <v>111</v>
      </c>
      <c r="D167" t="str">
        <f>VLOOKUP(Q167,PROVINCIAS!B$3:$D$70,2,0)</f>
        <v>50</v>
      </c>
      <c r="E167" s="20" t="s">
        <v>108</v>
      </c>
      <c r="F167">
        <f t="shared" si="6"/>
        <v>80</v>
      </c>
      <c r="G167" s="44">
        <v>25</v>
      </c>
      <c r="I167" s="29">
        <f>VLOOKUP(Q167,PROVINCIAS!B$2:$D$70,3,FALSE)</f>
        <v>2</v>
      </c>
      <c r="K167" s="20" t="str">
        <f t="shared" si="7"/>
        <v>F</v>
      </c>
      <c r="Q167" s="44" t="s">
        <v>109</v>
      </c>
      <c r="R167">
        <v>0</v>
      </c>
      <c r="S167">
        <v>0</v>
      </c>
      <c r="U167">
        <f t="shared" si="8"/>
        <v>2</v>
      </c>
    </row>
    <row r="168" spans="1:21" x14ac:dyDescent="0.15">
      <c r="A168" s="44" t="s">
        <v>110</v>
      </c>
      <c r="C168" s="44" t="s">
        <v>111</v>
      </c>
      <c r="D168" t="str">
        <f>VLOOKUP(Q168,PROVINCIAS!B$3:$D$70,2,0)</f>
        <v>28</v>
      </c>
      <c r="E168" s="20" t="s">
        <v>108</v>
      </c>
      <c r="F168">
        <f t="shared" si="6"/>
        <v>80</v>
      </c>
      <c r="G168" s="45">
        <v>25</v>
      </c>
      <c r="I168" s="29">
        <f>VLOOKUP(Q168,PROVINCIAS!B$2:$D$70,3,FALSE)</f>
        <v>12</v>
      </c>
      <c r="K168" s="20" t="str">
        <f t="shared" si="7"/>
        <v>F</v>
      </c>
      <c r="Q168" s="45" t="s">
        <v>112</v>
      </c>
      <c r="R168">
        <v>0</v>
      </c>
      <c r="S168">
        <v>0</v>
      </c>
      <c r="U168">
        <f t="shared" si="8"/>
        <v>2</v>
      </c>
    </row>
    <row r="169" spans="1:21" x14ac:dyDescent="0.15">
      <c r="A169" s="44" t="s">
        <v>110</v>
      </c>
      <c r="C169" s="44" t="s">
        <v>111</v>
      </c>
      <c r="D169" t="str">
        <f>VLOOKUP(Q169,PROVINCIAS!B$3:$D$70,2,0)</f>
        <v>28</v>
      </c>
      <c r="E169" s="20" t="s">
        <v>108</v>
      </c>
      <c r="F169">
        <f t="shared" si="6"/>
        <v>80</v>
      </c>
      <c r="G169" s="45">
        <v>50</v>
      </c>
      <c r="I169" s="29">
        <f>VLOOKUP(Q169,PROVINCIAS!B$2:$D$70,3,FALSE)</f>
        <v>12</v>
      </c>
      <c r="K169" s="20" t="str">
        <f t="shared" si="7"/>
        <v>F</v>
      </c>
      <c r="Q169" s="45" t="s">
        <v>112</v>
      </c>
      <c r="R169">
        <v>0</v>
      </c>
      <c r="S169">
        <v>0</v>
      </c>
      <c r="U169">
        <f t="shared" si="8"/>
        <v>2</v>
      </c>
    </row>
    <row r="170" spans="1:21" x14ac:dyDescent="0.15">
      <c r="A170" s="44" t="s">
        <v>110</v>
      </c>
      <c r="C170" s="44" t="s">
        <v>111</v>
      </c>
      <c r="D170">
        <f>VLOOKUP(Q170,PROVINCIAS!B$3:$D$70,2,0)</f>
        <v>15</v>
      </c>
      <c r="E170" s="20" t="s">
        <v>108</v>
      </c>
      <c r="F170">
        <f t="shared" si="6"/>
        <v>80</v>
      </c>
      <c r="G170" s="45">
        <v>30</v>
      </c>
      <c r="I170" s="29">
        <f>VLOOKUP(Q170,PROVINCIAS!B$2:$D$70,3,FALSE)</f>
        <v>11</v>
      </c>
      <c r="K170" s="20" t="str">
        <f t="shared" si="7"/>
        <v>F</v>
      </c>
      <c r="Q170" s="45" t="s">
        <v>147</v>
      </c>
      <c r="R170">
        <v>0</v>
      </c>
      <c r="S170">
        <v>0</v>
      </c>
      <c r="U170">
        <f t="shared" si="8"/>
        <v>2</v>
      </c>
    </row>
    <row r="171" spans="1:21" x14ac:dyDescent="0.15">
      <c r="A171" s="44" t="s">
        <v>110</v>
      </c>
      <c r="C171" s="44" t="s">
        <v>111</v>
      </c>
      <c r="D171" t="str">
        <f>VLOOKUP(Q171,PROVINCIAS!B$3:$D$70,2,0)</f>
        <v>24</v>
      </c>
      <c r="E171" s="20" t="s">
        <v>108</v>
      </c>
      <c r="F171">
        <f t="shared" si="6"/>
        <v>80</v>
      </c>
      <c r="G171" s="44">
        <v>25</v>
      </c>
      <c r="I171" s="29">
        <f>VLOOKUP(Q171,PROVINCIAS!B$2:$D$70,3,FALSE)</f>
        <v>8</v>
      </c>
      <c r="K171" s="20" t="str">
        <f t="shared" si="7"/>
        <v>F</v>
      </c>
      <c r="Q171" s="44" t="s">
        <v>132</v>
      </c>
      <c r="R171">
        <v>0</v>
      </c>
      <c r="S171">
        <v>0</v>
      </c>
      <c r="U171">
        <f t="shared" si="8"/>
        <v>2</v>
      </c>
    </row>
    <row r="172" spans="1:21" x14ac:dyDescent="0.15">
      <c r="A172" s="44" t="s">
        <v>110</v>
      </c>
      <c r="C172" s="44" t="s">
        <v>111</v>
      </c>
      <c r="D172" t="str">
        <f>VLOOKUP(Q172,PROVINCIAS!B$3:$D$70,2,0)</f>
        <v>28</v>
      </c>
      <c r="E172" s="20" t="s">
        <v>108</v>
      </c>
      <c r="F172">
        <f t="shared" si="6"/>
        <v>80</v>
      </c>
      <c r="G172" s="45">
        <v>25</v>
      </c>
      <c r="I172" s="29">
        <f>VLOOKUP(Q172,PROVINCIAS!B$2:$D$70,3,FALSE)</f>
        <v>12</v>
      </c>
      <c r="K172" s="20" t="str">
        <f t="shared" si="7"/>
        <v>F</v>
      </c>
      <c r="Q172" s="45" t="s">
        <v>112</v>
      </c>
      <c r="R172">
        <v>0</v>
      </c>
      <c r="S172">
        <v>0</v>
      </c>
      <c r="U172">
        <f t="shared" si="8"/>
        <v>2</v>
      </c>
    </row>
    <row r="173" spans="1:21" x14ac:dyDescent="0.15">
      <c r="A173" s="44" t="s">
        <v>110</v>
      </c>
      <c r="C173" s="44" t="s">
        <v>111</v>
      </c>
      <c r="D173" t="str">
        <f>VLOOKUP(Q173,PROVINCIAS!B$3:$D$70,2,0)</f>
        <v>03</v>
      </c>
      <c r="E173" s="20" t="s">
        <v>108</v>
      </c>
      <c r="F173">
        <f t="shared" si="6"/>
        <v>80</v>
      </c>
      <c r="G173" s="45">
        <v>25</v>
      </c>
      <c r="I173" s="29">
        <f>VLOOKUP(Q173,PROVINCIAS!B$2:$D$70,3,FALSE)</f>
        <v>17</v>
      </c>
      <c r="K173" s="20" t="str">
        <f t="shared" si="7"/>
        <v>F</v>
      </c>
      <c r="Q173" s="45" t="s">
        <v>118</v>
      </c>
      <c r="R173">
        <v>0</v>
      </c>
      <c r="S173">
        <v>0</v>
      </c>
      <c r="U173">
        <f t="shared" si="8"/>
        <v>2</v>
      </c>
    </row>
    <row r="174" spans="1:21" x14ac:dyDescent="0.15">
      <c r="A174" s="44" t="s">
        <v>110</v>
      </c>
      <c r="C174" s="44" t="s">
        <v>111</v>
      </c>
      <c r="D174" t="str">
        <f>VLOOKUP(Q174,PROVINCIAS!B$3:$D$70,2,0)</f>
        <v>33</v>
      </c>
      <c r="E174" s="20" t="s">
        <v>108</v>
      </c>
      <c r="F174">
        <f t="shared" si="6"/>
        <v>80</v>
      </c>
      <c r="G174" s="44">
        <v>40</v>
      </c>
      <c r="I174" s="29">
        <f>VLOOKUP(Q174,PROVINCIAS!B$2:$D$70,3,FALSE)</f>
        <v>3</v>
      </c>
      <c r="K174" s="20" t="str">
        <f t="shared" si="7"/>
        <v>F</v>
      </c>
      <c r="Q174" s="44" t="s">
        <v>117</v>
      </c>
      <c r="R174">
        <v>0</v>
      </c>
      <c r="S174">
        <v>0</v>
      </c>
      <c r="U174">
        <f t="shared" si="8"/>
        <v>2</v>
      </c>
    </row>
    <row r="175" spans="1:21" x14ac:dyDescent="0.15">
      <c r="A175" s="44" t="s">
        <v>110</v>
      </c>
      <c r="C175" s="44" t="s">
        <v>111</v>
      </c>
      <c r="D175" t="str">
        <f>VLOOKUP(Q175,PROVINCIAS!B$3:$D$70,2,0)</f>
        <v>33</v>
      </c>
      <c r="E175" s="20" t="s">
        <v>108</v>
      </c>
      <c r="F175">
        <f t="shared" si="6"/>
        <v>80</v>
      </c>
      <c r="G175" s="44">
        <v>25</v>
      </c>
      <c r="I175" s="29">
        <f>VLOOKUP(Q175,PROVINCIAS!B$2:$D$70,3,FALSE)</f>
        <v>3</v>
      </c>
      <c r="K175" s="20" t="str">
        <f t="shared" si="7"/>
        <v>F</v>
      </c>
      <c r="Q175" s="44" t="s">
        <v>117</v>
      </c>
      <c r="R175">
        <v>0</v>
      </c>
      <c r="S175">
        <v>0</v>
      </c>
      <c r="U175">
        <f t="shared" si="8"/>
        <v>2</v>
      </c>
    </row>
    <row r="176" spans="1:21" x14ac:dyDescent="0.15">
      <c r="A176" s="44" t="s">
        <v>110</v>
      </c>
      <c r="C176" s="44" t="s">
        <v>111</v>
      </c>
      <c r="D176" t="str">
        <f>VLOOKUP(Q176,PROVINCIAS!B$3:$D$70,2,0)</f>
        <v>50</v>
      </c>
      <c r="E176" s="20" t="s">
        <v>108</v>
      </c>
      <c r="F176">
        <f t="shared" si="6"/>
        <v>80</v>
      </c>
      <c r="G176" s="44">
        <v>25</v>
      </c>
      <c r="I176" s="29">
        <f>VLOOKUP(Q176,PROVINCIAS!B$2:$D$70,3,FALSE)</f>
        <v>2</v>
      </c>
      <c r="K176" s="20" t="str">
        <f t="shared" si="7"/>
        <v>F</v>
      </c>
      <c r="Q176" s="44" t="s">
        <v>109</v>
      </c>
      <c r="R176">
        <v>0</v>
      </c>
      <c r="S176">
        <v>0</v>
      </c>
      <c r="U176">
        <f t="shared" si="8"/>
        <v>2</v>
      </c>
    </row>
    <row r="177" spans="1:21" x14ac:dyDescent="0.15">
      <c r="A177" s="44" t="s">
        <v>110</v>
      </c>
      <c r="C177" s="44" t="s">
        <v>111</v>
      </c>
      <c r="D177" t="str">
        <f>VLOOKUP(Q177,PROVINCIAS!B$3:$D$70,2,0)</f>
        <v>33</v>
      </c>
      <c r="E177" s="20" t="s">
        <v>108</v>
      </c>
      <c r="F177">
        <f t="shared" si="6"/>
        <v>80</v>
      </c>
      <c r="G177" s="45">
        <v>25</v>
      </c>
      <c r="I177" s="29">
        <f>VLOOKUP(Q177,PROVINCIAS!B$2:$D$70,3,FALSE)</f>
        <v>3</v>
      </c>
      <c r="K177" s="20" t="str">
        <f t="shared" si="7"/>
        <v>F</v>
      </c>
      <c r="Q177" s="45" t="s">
        <v>117</v>
      </c>
      <c r="R177">
        <v>0</v>
      </c>
      <c r="S177">
        <v>0</v>
      </c>
      <c r="U177">
        <f t="shared" si="8"/>
        <v>2</v>
      </c>
    </row>
    <row r="178" spans="1:21" x14ac:dyDescent="0.15">
      <c r="A178" s="44" t="s">
        <v>110</v>
      </c>
      <c r="C178" s="44" t="s">
        <v>111</v>
      </c>
      <c r="D178" t="str">
        <f>VLOOKUP(Q178,PROVINCIAS!B$3:$D$70,2,0)</f>
        <v>33</v>
      </c>
      <c r="E178" s="20" t="s">
        <v>108</v>
      </c>
      <c r="F178">
        <f t="shared" si="6"/>
        <v>80</v>
      </c>
      <c r="G178" s="45">
        <v>25</v>
      </c>
      <c r="I178" s="29">
        <f>VLOOKUP(Q178,PROVINCIAS!B$2:$D$70,3,FALSE)</f>
        <v>3</v>
      </c>
      <c r="K178" s="20" t="str">
        <f t="shared" si="7"/>
        <v>F</v>
      </c>
      <c r="Q178" s="45" t="s">
        <v>117</v>
      </c>
      <c r="R178">
        <v>0</v>
      </c>
      <c r="S178">
        <v>0</v>
      </c>
      <c r="U178">
        <f t="shared" si="8"/>
        <v>2</v>
      </c>
    </row>
    <row r="179" spans="1:21" x14ac:dyDescent="0.15">
      <c r="A179" s="44" t="s">
        <v>110</v>
      </c>
      <c r="C179" s="44" t="s">
        <v>111</v>
      </c>
      <c r="D179" t="str">
        <f>VLOOKUP(Q179,PROVINCIAS!B$3:$D$70,2,0)</f>
        <v>28</v>
      </c>
      <c r="E179" s="20" t="s">
        <v>108</v>
      </c>
      <c r="F179">
        <f t="shared" si="6"/>
        <v>80</v>
      </c>
      <c r="G179" s="45">
        <v>36</v>
      </c>
      <c r="I179" s="29">
        <f>VLOOKUP(Q179,PROVINCIAS!B$2:$D$70,3,FALSE)</f>
        <v>12</v>
      </c>
      <c r="K179" s="20" t="str">
        <f t="shared" si="7"/>
        <v>F</v>
      </c>
      <c r="Q179" s="45" t="s">
        <v>112</v>
      </c>
      <c r="R179">
        <v>0</v>
      </c>
      <c r="S179">
        <v>0</v>
      </c>
      <c r="U179">
        <f t="shared" si="8"/>
        <v>2</v>
      </c>
    </row>
    <row r="180" spans="1:21" x14ac:dyDescent="0.15">
      <c r="A180" s="44" t="s">
        <v>110</v>
      </c>
      <c r="C180" s="44" t="s">
        <v>111</v>
      </c>
      <c r="D180" t="str">
        <f>VLOOKUP(Q180,PROVINCIAS!B$3:$D$70,2,0)</f>
        <v>28</v>
      </c>
      <c r="E180" s="20" t="s">
        <v>108</v>
      </c>
      <c r="F180">
        <f t="shared" si="6"/>
        <v>80</v>
      </c>
      <c r="G180" s="45">
        <v>25</v>
      </c>
      <c r="I180" s="29">
        <f>VLOOKUP(Q180,PROVINCIAS!B$2:$D$70,3,FALSE)</f>
        <v>12</v>
      </c>
      <c r="K180" s="20" t="str">
        <f t="shared" si="7"/>
        <v>F</v>
      </c>
      <c r="Q180" s="45" t="s">
        <v>112</v>
      </c>
      <c r="R180">
        <v>0</v>
      </c>
      <c r="S180">
        <v>0</v>
      </c>
      <c r="U180">
        <f t="shared" si="8"/>
        <v>2</v>
      </c>
    </row>
    <row r="181" spans="1:21" x14ac:dyDescent="0.15">
      <c r="A181" s="44" t="s">
        <v>110</v>
      </c>
      <c r="C181" s="44" t="s">
        <v>111</v>
      </c>
      <c r="D181" t="str">
        <f>VLOOKUP(Q181,PROVINCIAS!B$3:$D$70,2,0)</f>
        <v>28</v>
      </c>
      <c r="E181" s="20" t="s">
        <v>108</v>
      </c>
      <c r="F181">
        <f t="shared" si="6"/>
        <v>80</v>
      </c>
      <c r="G181" s="45">
        <v>60</v>
      </c>
      <c r="I181" s="29">
        <f>VLOOKUP(Q181,PROVINCIAS!B$2:$D$70,3,FALSE)</f>
        <v>12</v>
      </c>
      <c r="K181" s="20" t="str">
        <f t="shared" si="7"/>
        <v>F</v>
      </c>
      <c r="Q181" s="45" t="s">
        <v>112</v>
      </c>
      <c r="R181">
        <v>0</v>
      </c>
      <c r="S181">
        <v>0</v>
      </c>
      <c r="U181">
        <f t="shared" si="8"/>
        <v>2</v>
      </c>
    </row>
    <row r="182" spans="1:21" x14ac:dyDescent="0.15">
      <c r="A182" s="44" t="s">
        <v>110</v>
      </c>
      <c r="C182" s="44" t="s">
        <v>111</v>
      </c>
      <c r="D182" t="str">
        <f>VLOOKUP(Q182,PROVINCIAS!B$3:$D$70,2,0)</f>
        <v>28</v>
      </c>
      <c r="E182" s="20" t="s">
        <v>108</v>
      </c>
      <c r="F182">
        <f t="shared" si="6"/>
        <v>80</v>
      </c>
      <c r="G182" s="45">
        <v>25</v>
      </c>
      <c r="I182" s="29">
        <f>VLOOKUP(Q182,PROVINCIAS!B$2:$D$70,3,FALSE)</f>
        <v>12</v>
      </c>
      <c r="K182" s="20" t="str">
        <f t="shared" si="7"/>
        <v>F</v>
      </c>
      <c r="Q182" s="45" t="s">
        <v>112</v>
      </c>
      <c r="R182">
        <v>0</v>
      </c>
      <c r="S182">
        <v>0</v>
      </c>
      <c r="U182">
        <f t="shared" si="8"/>
        <v>2</v>
      </c>
    </row>
    <row r="183" spans="1:21" x14ac:dyDescent="0.15">
      <c r="A183" s="44" t="s">
        <v>110</v>
      </c>
      <c r="C183" s="44" t="s">
        <v>111</v>
      </c>
      <c r="D183" t="str">
        <f>VLOOKUP(Q183,PROVINCIAS!B$3:$D$70,2,0)</f>
        <v>29</v>
      </c>
      <c r="E183" s="20" t="s">
        <v>108</v>
      </c>
      <c r="F183">
        <f t="shared" si="6"/>
        <v>80</v>
      </c>
      <c r="G183" s="45">
        <v>30</v>
      </c>
      <c r="I183" s="29">
        <f>VLOOKUP(Q183,PROVINCIAS!B$2:$D$70,3,FALSE)</f>
        <v>1</v>
      </c>
      <c r="K183" s="20" t="str">
        <f t="shared" si="7"/>
        <v>F</v>
      </c>
      <c r="Q183" s="45" t="s">
        <v>124</v>
      </c>
      <c r="R183">
        <v>0</v>
      </c>
      <c r="S183">
        <v>0</v>
      </c>
      <c r="U183">
        <f t="shared" si="8"/>
        <v>2</v>
      </c>
    </row>
    <row r="184" spans="1:21" x14ac:dyDescent="0.15">
      <c r="A184" s="44" t="s">
        <v>110</v>
      </c>
      <c r="C184" s="44" t="s">
        <v>111</v>
      </c>
      <c r="D184" t="str">
        <f>VLOOKUP(Q184,PROVINCIAS!B$3:$D$70,2,0)</f>
        <v>48</v>
      </c>
      <c r="E184" s="20" t="s">
        <v>108</v>
      </c>
      <c r="F184">
        <f t="shared" si="6"/>
        <v>80</v>
      </c>
      <c r="G184" s="44">
        <v>50</v>
      </c>
      <c r="I184" s="29">
        <f>VLOOKUP(Q184,PROVINCIAS!B$2:$D$70,3,FALSE)</f>
        <v>0</v>
      </c>
      <c r="K184" s="20" t="str">
        <f t="shared" si="7"/>
        <v>F</v>
      </c>
      <c r="Q184" s="44" t="s">
        <v>142</v>
      </c>
      <c r="R184">
        <v>0</v>
      </c>
      <c r="S184">
        <v>0</v>
      </c>
      <c r="U184">
        <f t="shared" si="8"/>
        <v>2</v>
      </c>
    </row>
    <row r="185" spans="1:21" x14ac:dyDescent="0.15">
      <c r="A185" s="44" t="s">
        <v>110</v>
      </c>
      <c r="C185" s="44" t="s">
        <v>111</v>
      </c>
      <c r="D185" t="str">
        <f>VLOOKUP(Q185,PROVINCIAS!B$3:$D$70,2,0)</f>
        <v>28</v>
      </c>
      <c r="E185" s="20" t="s">
        <v>108</v>
      </c>
      <c r="F185">
        <f t="shared" si="6"/>
        <v>80</v>
      </c>
      <c r="G185" s="45">
        <v>25</v>
      </c>
      <c r="I185" s="29">
        <f>VLOOKUP(Q185,PROVINCIAS!B$2:$D$70,3,FALSE)</f>
        <v>12</v>
      </c>
      <c r="K185" s="20" t="str">
        <f t="shared" si="7"/>
        <v>F</v>
      </c>
      <c r="Q185" s="45" t="s">
        <v>112</v>
      </c>
      <c r="R185">
        <v>0</v>
      </c>
      <c r="S185">
        <v>0</v>
      </c>
      <c r="U185">
        <f t="shared" si="8"/>
        <v>2</v>
      </c>
    </row>
    <row r="186" spans="1:21" x14ac:dyDescent="0.15">
      <c r="A186" s="44" t="s">
        <v>110</v>
      </c>
      <c r="C186" s="44" t="s">
        <v>111</v>
      </c>
      <c r="D186" t="str">
        <f>VLOOKUP(Q186,PROVINCIAS!B$3:$D$70,2,0)</f>
        <v>33</v>
      </c>
      <c r="E186" s="20" t="s">
        <v>108</v>
      </c>
      <c r="F186">
        <f t="shared" si="6"/>
        <v>80</v>
      </c>
      <c r="G186" s="45">
        <v>25</v>
      </c>
      <c r="I186" s="29">
        <f>VLOOKUP(Q186,PROVINCIAS!B$2:$D$70,3,FALSE)</f>
        <v>3</v>
      </c>
      <c r="K186" s="20" t="str">
        <f t="shared" si="7"/>
        <v>F</v>
      </c>
      <c r="Q186" s="45" t="s">
        <v>117</v>
      </c>
      <c r="R186">
        <v>0</v>
      </c>
      <c r="S186">
        <v>0</v>
      </c>
      <c r="U186">
        <f t="shared" si="8"/>
        <v>2</v>
      </c>
    </row>
    <row r="187" spans="1:21" x14ac:dyDescent="0.15">
      <c r="A187" s="44" t="s">
        <v>110</v>
      </c>
      <c r="C187" s="44" t="s">
        <v>111</v>
      </c>
      <c r="D187" t="str">
        <f>VLOOKUP(Q187,PROVINCIAS!B$3:$D$70,2,0)</f>
        <v>28</v>
      </c>
      <c r="E187" s="20" t="s">
        <v>108</v>
      </c>
      <c r="F187">
        <f t="shared" si="6"/>
        <v>80</v>
      </c>
      <c r="G187" s="45">
        <v>25</v>
      </c>
      <c r="I187" s="29">
        <f>VLOOKUP(Q187,PROVINCIAS!B$2:$D$70,3,FALSE)</f>
        <v>12</v>
      </c>
      <c r="K187" s="20" t="str">
        <f t="shared" si="7"/>
        <v>F</v>
      </c>
      <c r="Q187" s="45" t="s">
        <v>112</v>
      </c>
      <c r="R187">
        <v>0</v>
      </c>
      <c r="S187">
        <v>0</v>
      </c>
      <c r="U187">
        <f t="shared" si="8"/>
        <v>2</v>
      </c>
    </row>
    <row r="188" spans="1:21" x14ac:dyDescent="0.15">
      <c r="A188" s="44" t="s">
        <v>110</v>
      </c>
      <c r="C188" s="44" t="s">
        <v>111</v>
      </c>
      <c r="D188" t="str">
        <f>VLOOKUP(Q188,PROVINCIAS!B$3:$D$70,2,0)</f>
        <v>28</v>
      </c>
      <c r="E188" s="20" t="s">
        <v>108</v>
      </c>
      <c r="F188">
        <f t="shared" si="6"/>
        <v>80</v>
      </c>
      <c r="G188" s="45">
        <v>25</v>
      </c>
      <c r="I188" s="29">
        <f>VLOOKUP(Q188,PROVINCIAS!B$2:$D$70,3,FALSE)</f>
        <v>12</v>
      </c>
      <c r="K188" s="20" t="str">
        <f t="shared" si="7"/>
        <v>F</v>
      </c>
      <c r="Q188" s="45" t="s">
        <v>112</v>
      </c>
      <c r="R188">
        <v>0</v>
      </c>
      <c r="S188">
        <v>0</v>
      </c>
      <c r="U188">
        <f t="shared" si="8"/>
        <v>2</v>
      </c>
    </row>
    <row r="189" spans="1:21" x14ac:dyDescent="0.15">
      <c r="A189" s="44" t="s">
        <v>110</v>
      </c>
      <c r="C189" s="44" t="s">
        <v>111</v>
      </c>
      <c r="D189" t="str">
        <f>VLOOKUP(Q189,PROVINCIAS!B$3:$D$70,2,0)</f>
        <v>28</v>
      </c>
      <c r="E189" s="20" t="s">
        <v>108</v>
      </c>
      <c r="F189">
        <f t="shared" si="6"/>
        <v>80</v>
      </c>
      <c r="G189" s="44">
        <v>30</v>
      </c>
      <c r="I189" s="29">
        <f>VLOOKUP(Q189,PROVINCIAS!B$2:$D$70,3,FALSE)</f>
        <v>12</v>
      </c>
      <c r="K189" s="20" t="str">
        <f t="shared" si="7"/>
        <v>F</v>
      </c>
      <c r="Q189" s="44" t="s">
        <v>112</v>
      </c>
      <c r="R189">
        <v>0</v>
      </c>
      <c r="S189">
        <v>0</v>
      </c>
      <c r="U189">
        <f t="shared" si="8"/>
        <v>2</v>
      </c>
    </row>
    <row r="190" spans="1:21" x14ac:dyDescent="0.15">
      <c r="A190" s="44" t="s">
        <v>110</v>
      </c>
      <c r="C190" s="44" t="s">
        <v>111</v>
      </c>
      <c r="D190" t="str">
        <f>VLOOKUP(Q190,PROVINCIAS!B$3:$D$70,2,0)</f>
        <v>28</v>
      </c>
      <c r="E190" s="20" t="s">
        <v>108</v>
      </c>
      <c r="F190">
        <f t="shared" si="6"/>
        <v>80</v>
      </c>
      <c r="G190" s="45">
        <v>54</v>
      </c>
      <c r="I190" s="29">
        <f>VLOOKUP(Q190,PROVINCIAS!B$2:$D$70,3,FALSE)</f>
        <v>12</v>
      </c>
      <c r="K190" s="20" t="str">
        <f t="shared" si="7"/>
        <v>F</v>
      </c>
      <c r="Q190" s="45" t="s">
        <v>112</v>
      </c>
      <c r="R190">
        <v>0</v>
      </c>
      <c r="S190">
        <v>0</v>
      </c>
      <c r="U190">
        <f t="shared" si="8"/>
        <v>2</v>
      </c>
    </row>
    <row r="191" spans="1:21" x14ac:dyDescent="0.15">
      <c r="A191" s="44" t="s">
        <v>110</v>
      </c>
      <c r="C191" s="44" t="s">
        <v>111</v>
      </c>
      <c r="D191" t="str">
        <f>VLOOKUP(Q191,PROVINCIAS!B$3:$D$70,2,0)</f>
        <v>32</v>
      </c>
      <c r="E191" s="20" t="s">
        <v>108</v>
      </c>
      <c r="F191">
        <f t="shared" si="6"/>
        <v>80</v>
      </c>
      <c r="G191" s="44">
        <v>25</v>
      </c>
      <c r="I191" s="29">
        <f>VLOOKUP(Q191,PROVINCIAS!B$2:$D$70,3,FALSE)</f>
        <v>11</v>
      </c>
      <c r="K191" s="20" t="str">
        <f t="shared" si="7"/>
        <v>F</v>
      </c>
      <c r="Q191" s="44" t="s">
        <v>152</v>
      </c>
      <c r="R191">
        <v>0</v>
      </c>
      <c r="S191">
        <v>0</v>
      </c>
      <c r="U191">
        <f t="shared" si="8"/>
        <v>2</v>
      </c>
    </row>
    <row r="192" spans="1:21" x14ac:dyDescent="0.15">
      <c r="A192" s="44" t="s">
        <v>110</v>
      </c>
      <c r="C192" s="44" t="s">
        <v>111</v>
      </c>
      <c r="D192" t="str">
        <f>VLOOKUP(Q192,PROVINCIAS!B$3:$D$70,2,0)</f>
        <v>28</v>
      </c>
      <c r="E192" s="20" t="s">
        <v>108</v>
      </c>
      <c r="F192">
        <f t="shared" si="6"/>
        <v>80</v>
      </c>
      <c r="G192" s="45">
        <v>25</v>
      </c>
      <c r="I192" s="29">
        <f>VLOOKUP(Q192,PROVINCIAS!B$2:$D$70,3,FALSE)</f>
        <v>12</v>
      </c>
      <c r="K192" s="20" t="str">
        <f t="shared" si="7"/>
        <v>F</v>
      </c>
      <c r="Q192" s="45" t="s">
        <v>112</v>
      </c>
      <c r="R192">
        <v>0</v>
      </c>
      <c r="S192">
        <v>0</v>
      </c>
      <c r="U192">
        <f t="shared" si="8"/>
        <v>2</v>
      </c>
    </row>
    <row r="193" spans="1:21" x14ac:dyDescent="0.15">
      <c r="A193" s="44" t="s">
        <v>110</v>
      </c>
      <c r="C193" s="44" t="s">
        <v>111</v>
      </c>
      <c r="D193" t="str">
        <f>VLOOKUP(Q193,PROVINCIAS!B$3:$D$70,2,0)</f>
        <v>28</v>
      </c>
      <c r="E193" s="20" t="s">
        <v>108</v>
      </c>
      <c r="F193">
        <f t="shared" si="6"/>
        <v>80</v>
      </c>
      <c r="G193" s="44">
        <v>30</v>
      </c>
      <c r="I193" s="29">
        <f>VLOOKUP(Q193,PROVINCIAS!B$2:$D$70,3,FALSE)</f>
        <v>12</v>
      </c>
      <c r="K193" s="20" t="str">
        <f t="shared" si="7"/>
        <v>F</v>
      </c>
      <c r="Q193" s="44" t="s">
        <v>112</v>
      </c>
      <c r="R193">
        <v>0</v>
      </c>
      <c r="S193">
        <v>0</v>
      </c>
      <c r="U193">
        <f t="shared" si="8"/>
        <v>2</v>
      </c>
    </row>
    <row r="194" spans="1:21" x14ac:dyDescent="0.15">
      <c r="A194" s="44" t="s">
        <v>110</v>
      </c>
      <c r="C194" s="44" t="s">
        <v>111</v>
      </c>
      <c r="D194" t="str">
        <f>VLOOKUP(Q194,PROVINCIAS!B$3:$D$70,2,0)</f>
        <v>28</v>
      </c>
      <c r="E194" s="20" t="s">
        <v>108</v>
      </c>
      <c r="F194">
        <f t="shared" si="6"/>
        <v>80</v>
      </c>
      <c r="G194" s="45">
        <v>30</v>
      </c>
      <c r="I194" s="29">
        <f>VLOOKUP(Q194,PROVINCIAS!B$2:$D$70,3,FALSE)</f>
        <v>12</v>
      </c>
      <c r="K194" s="20" t="str">
        <f t="shared" si="7"/>
        <v>F</v>
      </c>
      <c r="Q194" s="45" t="s">
        <v>112</v>
      </c>
      <c r="R194">
        <v>0</v>
      </c>
      <c r="S194">
        <v>0</v>
      </c>
      <c r="U194">
        <f t="shared" si="8"/>
        <v>2</v>
      </c>
    </row>
    <row r="195" spans="1:21" x14ac:dyDescent="0.15">
      <c r="A195" s="44" t="s">
        <v>110</v>
      </c>
      <c r="C195" s="44" t="s">
        <v>111</v>
      </c>
      <c r="D195" t="str">
        <f>VLOOKUP(Q195,PROVINCIAS!B$3:$D$70,2,0)</f>
        <v>39</v>
      </c>
      <c r="E195" s="20" t="s">
        <v>108</v>
      </c>
      <c r="F195">
        <f t="shared" ref="F195:F258" si="9">GetDeduccion2016(G195,U195,K195)</f>
        <v>80</v>
      </c>
      <c r="G195" s="45">
        <v>40</v>
      </c>
      <c r="I195" s="29">
        <f>VLOOKUP(Q195,PROVINCIAS!B$2:$D$70,3,FALSE)</f>
        <v>6</v>
      </c>
      <c r="K195" s="20" t="str">
        <f t="shared" ref="K195:K258" si="10">GetNaturaleza(A195)</f>
        <v>F</v>
      </c>
      <c r="Q195" s="45" t="s">
        <v>138</v>
      </c>
      <c r="R195">
        <v>0</v>
      </c>
      <c r="S195">
        <v>0</v>
      </c>
      <c r="U195">
        <f t="shared" ref="U195:U258" si="11">GetRecurrente(G195,R195,S195,T195)</f>
        <v>2</v>
      </c>
    </row>
    <row r="196" spans="1:21" x14ac:dyDescent="0.15">
      <c r="A196" s="44" t="s">
        <v>110</v>
      </c>
      <c r="C196" s="44" t="s">
        <v>111</v>
      </c>
      <c r="D196" t="str">
        <f>VLOOKUP(Q196,PROVINCIAS!B$3:$D$70,2,0)</f>
        <v>33</v>
      </c>
      <c r="E196" s="20" t="s">
        <v>108</v>
      </c>
      <c r="F196">
        <f t="shared" si="9"/>
        <v>80</v>
      </c>
      <c r="G196" s="45">
        <v>30</v>
      </c>
      <c r="I196" s="29">
        <f>VLOOKUP(Q196,PROVINCIAS!B$2:$D$70,3,FALSE)</f>
        <v>3</v>
      </c>
      <c r="K196" s="20" t="str">
        <f t="shared" si="10"/>
        <v>F</v>
      </c>
      <c r="Q196" s="45" t="s">
        <v>117</v>
      </c>
      <c r="R196">
        <v>0</v>
      </c>
      <c r="S196">
        <v>0</v>
      </c>
      <c r="U196">
        <f t="shared" si="11"/>
        <v>2</v>
      </c>
    </row>
    <row r="197" spans="1:21" x14ac:dyDescent="0.15">
      <c r="A197" s="44" t="s">
        <v>110</v>
      </c>
      <c r="C197" s="44" t="s">
        <v>111</v>
      </c>
      <c r="D197" t="str">
        <f>VLOOKUP(Q197,PROVINCIAS!B$3:$D$70,2,0)</f>
        <v>28</v>
      </c>
      <c r="E197" s="20" t="s">
        <v>108</v>
      </c>
      <c r="F197">
        <f t="shared" si="9"/>
        <v>80</v>
      </c>
      <c r="G197" s="44">
        <v>25</v>
      </c>
      <c r="I197" s="29">
        <f>VLOOKUP(Q197,PROVINCIAS!B$2:$D$70,3,FALSE)</f>
        <v>12</v>
      </c>
      <c r="K197" s="20" t="str">
        <f t="shared" si="10"/>
        <v>F</v>
      </c>
      <c r="Q197" s="44" t="s">
        <v>112</v>
      </c>
      <c r="R197">
        <v>0</v>
      </c>
      <c r="S197">
        <v>0</v>
      </c>
      <c r="U197">
        <f t="shared" si="11"/>
        <v>2</v>
      </c>
    </row>
    <row r="198" spans="1:21" x14ac:dyDescent="0.15">
      <c r="A198" s="44" t="s">
        <v>110</v>
      </c>
      <c r="C198" s="44" t="s">
        <v>111</v>
      </c>
      <c r="D198" t="str">
        <f>VLOOKUP(Q198,PROVINCIAS!B$3:$D$70,2,0)</f>
        <v>28</v>
      </c>
      <c r="E198" s="20" t="s">
        <v>108</v>
      </c>
      <c r="F198">
        <f t="shared" si="9"/>
        <v>80</v>
      </c>
      <c r="G198" s="45">
        <v>50</v>
      </c>
      <c r="I198" s="29">
        <f>VLOOKUP(Q198,PROVINCIAS!B$2:$D$70,3,FALSE)</f>
        <v>12</v>
      </c>
      <c r="K198" s="20" t="str">
        <f t="shared" si="10"/>
        <v>F</v>
      </c>
      <c r="Q198" s="45" t="s">
        <v>112</v>
      </c>
      <c r="R198">
        <v>0</v>
      </c>
      <c r="S198">
        <v>0</v>
      </c>
      <c r="U198">
        <f t="shared" si="11"/>
        <v>2</v>
      </c>
    </row>
    <row r="199" spans="1:21" x14ac:dyDescent="0.15">
      <c r="A199" s="44" t="s">
        <v>110</v>
      </c>
      <c r="C199" s="44" t="s">
        <v>111</v>
      </c>
      <c r="D199" t="str">
        <f>VLOOKUP(Q199,PROVINCIAS!B$3:$D$70,2,0)</f>
        <v>43</v>
      </c>
      <c r="E199" s="20" t="s">
        <v>108</v>
      </c>
      <c r="F199">
        <f t="shared" si="9"/>
        <v>80</v>
      </c>
      <c r="G199" s="44">
        <v>100</v>
      </c>
      <c r="I199" s="29">
        <f>VLOOKUP(Q199,PROVINCIAS!B$2:$D$70,3,FALSE)</f>
        <v>9</v>
      </c>
      <c r="K199" s="20" t="str">
        <f t="shared" si="10"/>
        <v>F</v>
      </c>
      <c r="Q199" s="44" t="s">
        <v>135</v>
      </c>
      <c r="R199">
        <v>0</v>
      </c>
      <c r="S199">
        <v>0</v>
      </c>
      <c r="U199">
        <f t="shared" si="11"/>
        <v>2</v>
      </c>
    </row>
    <row r="200" spans="1:21" x14ac:dyDescent="0.15">
      <c r="A200" s="44" t="s">
        <v>110</v>
      </c>
      <c r="C200" s="44" t="s">
        <v>111</v>
      </c>
      <c r="D200" t="str">
        <f>VLOOKUP(Q200,PROVINCIAS!B$3:$D$70,2,0)</f>
        <v>01</v>
      </c>
      <c r="E200" s="20" t="s">
        <v>108</v>
      </c>
      <c r="F200">
        <f t="shared" si="9"/>
        <v>80</v>
      </c>
      <c r="G200" s="45">
        <v>30</v>
      </c>
      <c r="I200" s="29">
        <f>VLOOKUP(Q200,PROVINCIAS!B$2:$D$70,3,FALSE)</f>
        <v>0</v>
      </c>
      <c r="K200" s="20" t="str">
        <f t="shared" si="10"/>
        <v>F</v>
      </c>
      <c r="Q200" s="45" t="s">
        <v>131</v>
      </c>
      <c r="R200">
        <v>0</v>
      </c>
      <c r="S200">
        <v>0</v>
      </c>
      <c r="U200">
        <f t="shared" si="11"/>
        <v>2</v>
      </c>
    </row>
    <row r="201" spans="1:21" x14ac:dyDescent="0.15">
      <c r="A201" s="44" t="s">
        <v>110</v>
      </c>
      <c r="C201" s="44" t="s">
        <v>111</v>
      </c>
      <c r="D201" t="str">
        <f>VLOOKUP(Q201,PROVINCIAS!B$3:$D$70,2,0)</f>
        <v>33</v>
      </c>
      <c r="E201" s="20" t="s">
        <v>108</v>
      </c>
      <c r="F201">
        <f t="shared" si="9"/>
        <v>80</v>
      </c>
      <c r="G201" s="44">
        <v>30</v>
      </c>
      <c r="I201" s="29">
        <f>VLOOKUP(Q201,PROVINCIAS!B$2:$D$70,3,FALSE)</f>
        <v>3</v>
      </c>
      <c r="K201" s="20" t="str">
        <f t="shared" si="10"/>
        <v>F</v>
      </c>
      <c r="Q201" s="44" t="s">
        <v>117</v>
      </c>
      <c r="R201">
        <v>0</v>
      </c>
      <c r="S201">
        <v>0</v>
      </c>
      <c r="U201">
        <f t="shared" si="11"/>
        <v>2</v>
      </c>
    </row>
    <row r="202" spans="1:21" x14ac:dyDescent="0.15">
      <c r="A202" s="44" t="s">
        <v>110</v>
      </c>
      <c r="C202" s="44" t="s">
        <v>111</v>
      </c>
      <c r="D202" t="str">
        <f>VLOOKUP(Q202,PROVINCIAS!B$3:$D$70,2,0)</f>
        <v>39</v>
      </c>
      <c r="E202" s="20" t="s">
        <v>108</v>
      </c>
      <c r="F202">
        <f t="shared" si="9"/>
        <v>80</v>
      </c>
      <c r="G202" s="45">
        <v>25</v>
      </c>
      <c r="I202" s="29">
        <f>VLOOKUP(Q202,PROVINCIAS!B$2:$D$70,3,FALSE)</f>
        <v>6</v>
      </c>
      <c r="K202" s="20" t="str">
        <f t="shared" si="10"/>
        <v>F</v>
      </c>
      <c r="Q202" s="45" t="s">
        <v>138</v>
      </c>
      <c r="R202">
        <v>0</v>
      </c>
      <c r="S202">
        <v>0</v>
      </c>
      <c r="U202">
        <f t="shared" si="11"/>
        <v>2</v>
      </c>
    </row>
    <row r="203" spans="1:21" x14ac:dyDescent="0.15">
      <c r="A203" s="44" t="s">
        <v>110</v>
      </c>
      <c r="C203" s="44" t="s">
        <v>111</v>
      </c>
      <c r="D203" t="str">
        <f>VLOOKUP(Q203,PROVINCIAS!B$3:$D$70,2,0)</f>
        <v>47</v>
      </c>
      <c r="E203" s="20" t="s">
        <v>108</v>
      </c>
      <c r="F203">
        <f t="shared" si="9"/>
        <v>80</v>
      </c>
      <c r="G203" s="45">
        <v>25</v>
      </c>
      <c r="I203" s="29">
        <f>VLOOKUP(Q203,PROVINCIAS!B$2:$D$70,3,FALSE)</f>
        <v>8</v>
      </c>
      <c r="K203" s="20" t="str">
        <f t="shared" si="10"/>
        <v>F</v>
      </c>
      <c r="Q203" s="45" t="s">
        <v>130</v>
      </c>
      <c r="R203">
        <v>0</v>
      </c>
      <c r="S203">
        <v>0</v>
      </c>
      <c r="U203">
        <f t="shared" si="11"/>
        <v>2</v>
      </c>
    </row>
    <row r="204" spans="1:21" x14ac:dyDescent="0.15">
      <c r="A204" s="44" t="s">
        <v>110</v>
      </c>
      <c r="C204" s="44" t="s">
        <v>111</v>
      </c>
      <c r="D204" t="str">
        <f>VLOOKUP(Q204,PROVINCIAS!B$3:$D$70,2,0)</f>
        <v>17</v>
      </c>
      <c r="E204" s="20" t="s">
        <v>108</v>
      </c>
      <c r="F204">
        <f t="shared" si="9"/>
        <v>80</v>
      </c>
      <c r="G204" s="44">
        <v>30</v>
      </c>
      <c r="I204" s="29">
        <f>VLOOKUP(Q204,PROVINCIAS!B$2:$D$70,3,FALSE)</f>
        <v>9</v>
      </c>
      <c r="K204" s="20" t="str">
        <f t="shared" si="10"/>
        <v>F</v>
      </c>
      <c r="Q204" s="44" t="s">
        <v>145</v>
      </c>
      <c r="R204">
        <v>0</v>
      </c>
      <c r="S204">
        <v>0</v>
      </c>
      <c r="U204">
        <f t="shared" si="11"/>
        <v>2</v>
      </c>
    </row>
    <row r="205" spans="1:21" x14ac:dyDescent="0.15">
      <c r="A205" s="44" t="s">
        <v>110</v>
      </c>
      <c r="C205" s="44" t="s">
        <v>111</v>
      </c>
      <c r="D205" t="str">
        <f>VLOOKUP(Q205,PROVINCIAS!B$3:$D$70,2,0)</f>
        <v>47</v>
      </c>
      <c r="E205" s="20" t="s">
        <v>108</v>
      </c>
      <c r="F205">
        <f t="shared" si="9"/>
        <v>80</v>
      </c>
      <c r="G205" s="44">
        <v>25</v>
      </c>
      <c r="I205" s="29">
        <f>VLOOKUP(Q205,PROVINCIAS!B$2:$D$70,3,FALSE)</f>
        <v>8</v>
      </c>
      <c r="K205" s="20" t="str">
        <f t="shared" si="10"/>
        <v>F</v>
      </c>
      <c r="Q205" s="44" t="s">
        <v>130</v>
      </c>
      <c r="R205">
        <v>0</v>
      </c>
      <c r="S205">
        <v>0</v>
      </c>
      <c r="U205">
        <f t="shared" si="11"/>
        <v>2</v>
      </c>
    </row>
    <row r="206" spans="1:21" x14ac:dyDescent="0.15">
      <c r="A206" s="44" t="s">
        <v>110</v>
      </c>
      <c r="C206" s="44" t="s">
        <v>111</v>
      </c>
      <c r="D206" t="str">
        <f>VLOOKUP(Q206,PROVINCIAS!B$3:$D$70,2,0)</f>
        <v>48</v>
      </c>
      <c r="E206" s="20" t="s">
        <v>108</v>
      </c>
      <c r="F206">
        <f t="shared" si="9"/>
        <v>80</v>
      </c>
      <c r="G206" s="45">
        <v>25</v>
      </c>
      <c r="I206" s="29">
        <f>VLOOKUP(Q206,PROVINCIAS!B$2:$D$70,3,FALSE)</f>
        <v>0</v>
      </c>
      <c r="K206" s="20" t="str">
        <f t="shared" si="10"/>
        <v>F</v>
      </c>
      <c r="Q206" s="45" t="s">
        <v>142</v>
      </c>
      <c r="R206">
        <v>0</v>
      </c>
      <c r="S206">
        <v>0</v>
      </c>
      <c r="U206">
        <f t="shared" si="11"/>
        <v>2</v>
      </c>
    </row>
    <row r="207" spans="1:21" x14ac:dyDescent="0.15">
      <c r="A207" s="44" t="s">
        <v>110</v>
      </c>
      <c r="C207" s="44" t="s">
        <v>111</v>
      </c>
      <c r="D207" t="str">
        <f>VLOOKUP(Q207,PROVINCIAS!B$3:$D$70,2,0)</f>
        <v>47</v>
      </c>
      <c r="E207" s="20" t="s">
        <v>108</v>
      </c>
      <c r="F207">
        <f t="shared" si="9"/>
        <v>80</v>
      </c>
      <c r="G207" s="44">
        <v>50</v>
      </c>
      <c r="I207" s="29">
        <f>VLOOKUP(Q207,PROVINCIAS!B$2:$D$70,3,FALSE)</f>
        <v>8</v>
      </c>
      <c r="K207" s="20" t="str">
        <f t="shared" si="10"/>
        <v>F</v>
      </c>
      <c r="Q207" s="44" t="s">
        <v>130</v>
      </c>
      <c r="R207">
        <v>0</v>
      </c>
      <c r="S207">
        <v>0</v>
      </c>
      <c r="U207">
        <f t="shared" si="11"/>
        <v>2</v>
      </c>
    </row>
    <row r="208" spans="1:21" x14ac:dyDescent="0.15">
      <c r="A208" s="44" t="s">
        <v>110</v>
      </c>
      <c r="C208" s="44" t="s">
        <v>111</v>
      </c>
      <c r="D208" t="str">
        <f>VLOOKUP(Q208,PROVINCIAS!B$3:$D$70,2,0)</f>
        <v>03</v>
      </c>
      <c r="E208" s="20" t="s">
        <v>108</v>
      </c>
      <c r="F208">
        <f t="shared" si="9"/>
        <v>80</v>
      </c>
      <c r="G208" s="44">
        <v>25</v>
      </c>
      <c r="I208" s="29">
        <f>VLOOKUP(Q208,PROVINCIAS!B$2:$D$70,3,FALSE)</f>
        <v>17</v>
      </c>
      <c r="K208" s="20" t="str">
        <f t="shared" si="10"/>
        <v>F</v>
      </c>
      <c r="Q208" s="44" t="s">
        <v>118</v>
      </c>
      <c r="R208">
        <v>0</v>
      </c>
      <c r="S208">
        <v>0</v>
      </c>
      <c r="U208">
        <f t="shared" si="11"/>
        <v>2</v>
      </c>
    </row>
    <row r="209" spans="1:21" x14ac:dyDescent="0.15">
      <c r="A209" s="44" t="s">
        <v>110</v>
      </c>
      <c r="C209" s="44" t="s">
        <v>111</v>
      </c>
      <c r="D209" t="str">
        <f>VLOOKUP(Q209,PROVINCIAS!B$3:$D$70,2,0)</f>
        <v>08</v>
      </c>
      <c r="E209" s="20" t="s">
        <v>108</v>
      </c>
      <c r="F209">
        <f t="shared" si="9"/>
        <v>80</v>
      </c>
      <c r="G209" s="45">
        <v>60</v>
      </c>
      <c r="I209" s="29">
        <f>VLOOKUP(Q209,PROVINCIAS!B$2:$D$70,3,FALSE)</f>
        <v>9</v>
      </c>
      <c r="K209" s="20" t="str">
        <f t="shared" si="10"/>
        <v>F</v>
      </c>
      <c r="Q209" s="45" t="s">
        <v>128</v>
      </c>
      <c r="R209">
        <v>0</v>
      </c>
      <c r="S209">
        <v>0</v>
      </c>
      <c r="U209">
        <f t="shared" si="11"/>
        <v>2</v>
      </c>
    </row>
    <row r="210" spans="1:21" x14ac:dyDescent="0.15">
      <c r="A210" s="44" t="s">
        <v>110</v>
      </c>
      <c r="C210" s="44" t="s">
        <v>111</v>
      </c>
      <c r="D210" t="str">
        <f>VLOOKUP(Q210,PROVINCIAS!B$3:$D$70,2,0)</f>
        <v>39</v>
      </c>
      <c r="E210" s="20" t="s">
        <v>108</v>
      </c>
      <c r="F210">
        <f t="shared" si="9"/>
        <v>80</v>
      </c>
      <c r="G210" s="44">
        <v>130</v>
      </c>
      <c r="I210" s="29">
        <f>VLOOKUP(Q210,PROVINCIAS!B$2:$D$70,3,FALSE)</f>
        <v>6</v>
      </c>
      <c r="K210" s="20" t="str">
        <f t="shared" si="10"/>
        <v>F</v>
      </c>
      <c r="Q210" s="44" t="s">
        <v>138</v>
      </c>
      <c r="R210">
        <v>0</v>
      </c>
      <c r="S210">
        <v>0</v>
      </c>
      <c r="U210">
        <f t="shared" si="11"/>
        <v>2</v>
      </c>
    </row>
    <row r="211" spans="1:21" x14ac:dyDescent="0.15">
      <c r="A211" s="44" t="s">
        <v>110</v>
      </c>
      <c r="C211" s="44" t="s">
        <v>111</v>
      </c>
      <c r="D211" t="str">
        <f>VLOOKUP(Q211,PROVINCIAS!B$3:$D$70,2,0)</f>
        <v>28</v>
      </c>
      <c r="E211" s="20" t="s">
        <v>108</v>
      </c>
      <c r="F211">
        <f t="shared" si="9"/>
        <v>80</v>
      </c>
      <c r="G211" s="44">
        <v>40</v>
      </c>
      <c r="I211" s="29">
        <f>VLOOKUP(Q211,PROVINCIAS!B$2:$D$70,3,FALSE)</f>
        <v>12</v>
      </c>
      <c r="K211" s="20" t="str">
        <f t="shared" si="10"/>
        <v>F</v>
      </c>
      <c r="Q211" s="44" t="s">
        <v>112</v>
      </c>
      <c r="R211">
        <v>0</v>
      </c>
      <c r="S211">
        <v>0</v>
      </c>
      <c r="U211">
        <f t="shared" si="11"/>
        <v>2</v>
      </c>
    </row>
    <row r="212" spans="1:21" x14ac:dyDescent="0.15">
      <c r="A212" s="44" t="s">
        <v>110</v>
      </c>
      <c r="C212" s="44" t="s">
        <v>111</v>
      </c>
      <c r="D212" t="str">
        <f>VLOOKUP(Q212,PROVINCIAS!B$3:$D$70,2,0)</f>
        <v>28</v>
      </c>
      <c r="E212" s="20" t="s">
        <v>108</v>
      </c>
      <c r="F212">
        <f t="shared" si="9"/>
        <v>80</v>
      </c>
      <c r="G212" s="45">
        <v>25</v>
      </c>
      <c r="I212" s="29">
        <f>VLOOKUP(Q212,PROVINCIAS!B$2:$D$70,3,FALSE)</f>
        <v>12</v>
      </c>
      <c r="K212" s="20" t="str">
        <f t="shared" si="10"/>
        <v>F</v>
      </c>
      <c r="Q212" s="45" t="s">
        <v>112</v>
      </c>
      <c r="R212">
        <v>0</v>
      </c>
      <c r="S212">
        <v>0</v>
      </c>
      <c r="U212">
        <f t="shared" si="11"/>
        <v>2</v>
      </c>
    </row>
    <row r="213" spans="1:21" x14ac:dyDescent="0.15">
      <c r="A213" s="44" t="s">
        <v>110</v>
      </c>
      <c r="C213" s="44" t="s">
        <v>111</v>
      </c>
      <c r="D213" t="str">
        <f>VLOOKUP(Q213,PROVINCIAS!B$3:$D$70,2,0)</f>
        <v>28</v>
      </c>
      <c r="E213" s="20" t="s">
        <v>108</v>
      </c>
      <c r="F213">
        <f t="shared" si="9"/>
        <v>80</v>
      </c>
      <c r="G213" s="45">
        <v>60</v>
      </c>
      <c r="I213" s="29">
        <f>VLOOKUP(Q213,PROVINCIAS!B$2:$D$70,3,FALSE)</f>
        <v>12</v>
      </c>
      <c r="K213" s="20" t="str">
        <f t="shared" si="10"/>
        <v>F</v>
      </c>
      <c r="Q213" s="45" t="s">
        <v>112</v>
      </c>
      <c r="R213">
        <v>0</v>
      </c>
      <c r="S213">
        <v>0</v>
      </c>
      <c r="U213">
        <f t="shared" si="11"/>
        <v>2</v>
      </c>
    </row>
    <row r="214" spans="1:21" x14ac:dyDescent="0.15">
      <c r="A214" s="44" t="s">
        <v>110</v>
      </c>
      <c r="C214" s="44" t="s">
        <v>111</v>
      </c>
      <c r="D214" t="str">
        <f>VLOOKUP(Q214,PROVINCIAS!B$3:$D$70,2,0)</f>
        <v>50</v>
      </c>
      <c r="E214" s="20" t="s">
        <v>108</v>
      </c>
      <c r="F214">
        <f t="shared" si="9"/>
        <v>80</v>
      </c>
      <c r="G214" s="44">
        <v>25</v>
      </c>
      <c r="I214" s="29">
        <f>VLOOKUP(Q214,PROVINCIAS!B$2:$D$70,3,FALSE)</f>
        <v>2</v>
      </c>
      <c r="K214" s="20" t="str">
        <f t="shared" si="10"/>
        <v>F</v>
      </c>
      <c r="Q214" s="44" t="s">
        <v>109</v>
      </c>
      <c r="R214">
        <v>0</v>
      </c>
      <c r="S214">
        <v>0</v>
      </c>
      <c r="U214">
        <f t="shared" si="11"/>
        <v>2</v>
      </c>
    </row>
    <row r="215" spans="1:21" x14ac:dyDescent="0.15">
      <c r="A215" s="44" t="s">
        <v>110</v>
      </c>
      <c r="C215" s="44" t="s">
        <v>111</v>
      </c>
      <c r="D215" t="str">
        <f>VLOOKUP(Q215,PROVINCIAS!B$3:$D$70,2,0)</f>
        <v>28</v>
      </c>
      <c r="E215" s="20" t="s">
        <v>108</v>
      </c>
      <c r="F215">
        <f t="shared" si="9"/>
        <v>80</v>
      </c>
      <c r="G215" s="45">
        <v>25</v>
      </c>
      <c r="I215" s="29">
        <f>VLOOKUP(Q215,PROVINCIAS!B$2:$D$70,3,FALSE)</f>
        <v>12</v>
      </c>
      <c r="K215" s="20" t="str">
        <f t="shared" si="10"/>
        <v>F</v>
      </c>
      <c r="Q215" s="45" t="s">
        <v>112</v>
      </c>
      <c r="R215">
        <v>0</v>
      </c>
      <c r="S215">
        <v>0</v>
      </c>
      <c r="U215">
        <f t="shared" si="11"/>
        <v>2</v>
      </c>
    </row>
    <row r="216" spans="1:21" x14ac:dyDescent="0.15">
      <c r="A216" s="44" t="s">
        <v>110</v>
      </c>
      <c r="C216" s="44" t="s">
        <v>111</v>
      </c>
      <c r="D216" t="str">
        <f>VLOOKUP(Q216,PROVINCIAS!B$3:$D$70,2,0)</f>
        <v>33</v>
      </c>
      <c r="E216" s="20" t="s">
        <v>108</v>
      </c>
      <c r="F216">
        <f t="shared" si="9"/>
        <v>80</v>
      </c>
      <c r="G216" s="45">
        <v>50</v>
      </c>
      <c r="I216" s="29">
        <f>VLOOKUP(Q216,PROVINCIAS!B$2:$D$70,3,FALSE)</f>
        <v>3</v>
      </c>
      <c r="K216" s="20" t="str">
        <f t="shared" si="10"/>
        <v>F</v>
      </c>
      <c r="Q216" s="45" t="s">
        <v>117</v>
      </c>
      <c r="R216">
        <v>0</v>
      </c>
      <c r="S216">
        <v>0</v>
      </c>
      <c r="U216">
        <f t="shared" si="11"/>
        <v>2</v>
      </c>
    </row>
    <row r="217" spans="1:21" x14ac:dyDescent="0.15">
      <c r="A217" s="44" t="s">
        <v>110</v>
      </c>
      <c r="C217" s="44" t="s">
        <v>111</v>
      </c>
      <c r="D217" t="str">
        <f>VLOOKUP(Q217,PROVINCIAS!B$3:$D$70,2,0)</f>
        <v>28</v>
      </c>
      <c r="E217" s="20" t="s">
        <v>108</v>
      </c>
      <c r="F217">
        <f t="shared" si="9"/>
        <v>80</v>
      </c>
      <c r="G217" s="45">
        <v>25</v>
      </c>
      <c r="I217" s="29">
        <f>VLOOKUP(Q217,PROVINCIAS!B$2:$D$70,3,FALSE)</f>
        <v>12</v>
      </c>
      <c r="K217" s="20" t="str">
        <f t="shared" si="10"/>
        <v>F</v>
      </c>
      <c r="Q217" s="45" t="s">
        <v>112</v>
      </c>
      <c r="R217">
        <v>0</v>
      </c>
      <c r="S217">
        <v>0</v>
      </c>
      <c r="U217">
        <f t="shared" si="11"/>
        <v>2</v>
      </c>
    </row>
    <row r="218" spans="1:21" x14ac:dyDescent="0.15">
      <c r="A218" s="44" t="s">
        <v>110</v>
      </c>
      <c r="C218" s="44" t="s">
        <v>111</v>
      </c>
      <c r="D218" t="str">
        <f>VLOOKUP(Q218,PROVINCIAS!B$3:$D$70,2,0)</f>
        <v>33</v>
      </c>
      <c r="E218" s="20" t="s">
        <v>108</v>
      </c>
      <c r="F218">
        <f t="shared" si="9"/>
        <v>80</v>
      </c>
      <c r="G218" s="45">
        <v>25</v>
      </c>
      <c r="I218" s="29">
        <f>VLOOKUP(Q218,PROVINCIAS!B$2:$D$70,3,FALSE)</f>
        <v>3</v>
      </c>
      <c r="K218" s="20" t="str">
        <f t="shared" si="10"/>
        <v>F</v>
      </c>
      <c r="Q218" s="45" t="s">
        <v>117</v>
      </c>
      <c r="R218">
        <v>0</v>
      </c>
      <c r="S218">
        <v>0</v>
      </c>
      <c r="U218">
        <f t="shared" si="11"/>
        <v>2</v>
      </c>
    </row>
    <row r="219" spans="1:21" x14ac:dyDescent="0.15">
      <c r="A219" s="44" t="s">
        <v>110</v>
      </c>
      <c r="C219" s="44" t="s">
        <v>111</v>
      </c>
      <c r="D219" t="str">
        <f>VLOOKUP(Q219,PROVINCIAS!B$3:$D$70,2,0)</f>
        <v>39</v>
      </c>
      <c r="E219" s="20" t="s">
        <v>108</v>
      </c>
      <c r="F219">
        <f t="shared" si="9"/>
        <v>80</v>
      </c>
      <c r="G219" s="45">
        <v>50</v>
      </c>
      <c r="I219" s="29">
        <f>VLOOKUP(Q219,PROVINCIAS!B$2:$D$70,3,FALSE)</f>
        <v>6</v>
      </c>
      <c r="K219" s="20" t="str">
        <f t="shared" si="10"/>
        <v>F</v>
      </c>
      <c r="Q219" s="45" t="s">
        <v>138</v>
      </c>
      <c r="R219">
        <v>0</v>
      </c>
      <c r="S219">
        <v>0</v>
      </c>
      <c r="U219">
        <f t="shared" si="11"/>
        <v>2</v>
      </c>
    </row>
    <row r="220" spans="1:21" x14ac:dyDescent="0.15">
      <c r="A220" s="44" t="s">
        <v>110</v>
      </c>
      <c r="C220" s="44" t="s">
        <v>111</v>
      </c>
      <c r="D220" t="str">
        <f>VLOOKUP(Q220,PROVINCIAS!B$3:$D$70,2,0)</f>
        <v>28</v>
      </c>
      <c r="E220" s="20" t="s">
        <v>108</v>
      </c>
      <c r="F220">
        <f t="shared" si="9"/>
        <v>35</v>
      </c>
      <c r="G220" s="44">
        <v>200</v>
      </c>
      <c r="I220" s="29">
        <f>VLOOKUP(Q220,PROVINCIAS!B$2:$D$70,3,FALSE)</f>
        <v>12</v>
      </c>
      <c r="K220" s="20" t="str">
        <f t="shared" si="10"/>
        <v>F</v>
      </c>
      <c r="Q220" s="44" t="s">
        <v>112</v>
      </c>
      <c r="R220">
        <v>0</v>
      </c>
      <c r="S220">
        <v>0</v>
      </c>
      <c r="U220">
        <f t="shared" si="11"/>
        <v>2</v>
      </c>
    </row>
    <row r="221" spans="1:21" x14ac:dyDescent="0.15">
      <c r="A221" s="44" t="s">
        <v>110</v>
      </c>
      <c r="C221" s="44" t="s">
        <v>111</v>
      </c>
      <c r="D221" t="str">
        <f>VLOOKUP(Q221,PROVINCIAS!B$3:$D$70,2,0)</f>
        <v>28</v>
      </c>
      <c r="E221" s="20" t="s">
        <v>108</v>
      </c>
      <c r="F221">
        <f t="shared" si="9"/>
        <v>80</v>
      </c>
      <c r="G221" s="44">
        <v>120</v>
      </c>
      <c r="I221" s="29">
        <f>VLOOKUP(Q221,PROVINCIAS!B$2:$D$70,3,FALSE)</f>
        <v>12</v>
      </c>
      <c r="K221" s="20" t="str">
        <f t="shared" si="10"/>
        <v>F</v>
      </c>
      <c r="Q221" s="44" t="s">
        <v>112</v>
      </c>
      <c r="R221">
        <v>0</v>
      </c>
      <c r="S221">
        <v>0</v>
      </c>
      <c r="U221">
        <f t="shared" si="11"/>
        <v>2</v>
      </c>
    </row>
    <row r="222" spans="1:21" x14ac:dyDescent="0.15">
      <c r="A222" s="44" t="s">
        <v>110</v>
      </c>
      <c r="C222" s="44" t="s">
        <v>111</v>
      </c>
      <c r="D222" t="str">
        <f>VLOOKUP(Q222,PROVINCIAS!B$3:$D$70,2,0)</f>
        <v>26</v>
      </c>
      <c r="E222" s="20" t="s">
        <v>108</v>
      </c>
      <c r="F222">
        <f t="shared" si="9"/>
        <v>80</v>
      </c>
      <c r="G222" s="45">
        <v>25</v>
      </c>
      <c r="I222" s="29">
        <f>VLOOKUP(Q222,PROVINCIAS!B$2:$D$70,3,FALSE)</f>
        <v>16</v>
      </c>
      <c r="K222" s="20" t="str">
        <f t="shared" si="10"/>
        <v>F</v>
      </c>
      <c r="Q222" s="45" t="s">
        <v>153</v>
      </c>
      <c r="R222">
        <v>0</v>
      </c>
      <c r="S222">
        <v>0</v>
      </c>
      <c r="U222">
        <f t="shared" si="11"/>
        <v>2</v>
      </c>
    </row>
    <row r="223" spans="1:21" x14ac:dyDescent="0.15">
      <c r="A223" s="44" t="s">
        <v>110</v>
      </c>
      <c r="C223" s="44" t="s">
        <v>111</v>
      </c>
      <c r="D223" t="str">
        <f>VLOOKUP(Q223,PROVINCIAS!B$3:$D$70,2,0)</f>
        <v>08</v>
      </c>
      <c r="E223" s="20" t="s">
        <v>108</v>
      </c>
      <c r="F223">
        <f t="shared" si="9"/>
        <v>80</v>
      </c>
      <c r="G223" s="44">
        <v>100</v>
      </c>
      <c r="I223" s="29">
        <f>VLOOKUP(Q223,PROVINCIAS!B$2:$D$70,3,FALSE)</f>
        <v>9</v>
      </c>
      <c r="K223" s="20" t="str">
        <f t="shared" si="10"/>
        <v>F</v>
      </c>
      <c r="Q223" s="44" t="s">
        <v>128</v>
      </c>
      <c r="R223">
        <v>0</v>
      </c>
      <c r="S223">
        <v>0</v>
      </c>
      <c r="U223">
        <f t="shared" si="11"/>
        <v>2</v>
      </c>
    </row>
    <row r="224" spans="1:21" x14ac:dyDescent="0.15">
      <c r="A224" s="44" t="s">
        <v>110</v>
      </c>
      <c r="C224" s="44" t="s">
        <v>111</v>
      </c>
      <c r="D224" t="str">
        <f>VLOOKUP(Q224,PROVINCIAS!B$3:$D$70,2,0)</f>
        <v>29</v>
      </c>
      <c r="E224" s="20" t="s">
        <v>108</v>
      </c>
      <c r="F224">
        <f t="shared" si="9"/>
        <v>35</v>
      </c>
      <c r="G224" s="45">
        <v>180</v>
      </c>
      <c r="I224" s="29">
        <f>VLOOKUP(Q224,PROVINCIAS!B$2:$D$70,3,FALSE)</f>
        <v>1</v>
      </c>
      <c r="K224" s="20" t="str">
        <f t="shared" si="10"/>
        <v>F</v>
      </c>
      <c r="Q224" s="45" t="s">
        <v>124</v>
      </c>
      <c r="R224">
        <v>0</v>
      </c>
      <c r="S224">
        <v>0</v>
      </c>
      <c r="U224">
        <f t="shared" si="11"/>
        <v>2</v>
      </c>
    </row>
    <row r="225" spans="1:21" x14ac:dyDescent="0.15">
      <c r="A225" s="44" t="s">
        <v>110</v>
      </c>
      <c r="C225" s="44" t="s">
        <v>111</v>
      </c>
      <c r="D225">
        <f>VLOOKUP(Q225,PROVINCIAS!B$3:$D$70,2,0)</f>
        <v>15</v>
      </c>
      <c r="E225" s="20" t="s">
        <v>108</v>
      </c>
      <c r="F225">
        <f t="shared" si="9"/>
        <v>80</v>
      </c>
      <c r="G225" s="45">
        <v>25</v>
      </c>
      <c r="I225" s="29">
        <f>VLOOKUP(Q225,PROVINCIAS!B$2:$D$70,3,FALSE)</f>
        <v>11</v>
      </c>
      <c r="K225" s="20" t="str">
        <f t="shared" si="10"/>
        <v>F</v>
      </c>
      <c r="Q225" s="45" t="s">
        <v>147</v>
      </c>
      <c r="R225">
        <v>0</v>
      </c>
      <c r="S225">
        <v>0</v>
      </c>
      <c r="U225">
        <f t="shared" si="11"/>
        <v>2</v>
      </c>
    </row>
    <row r="226" spans="1:21" x14ac:dyDescent="0.15">
      <c r="A226" s="44" t="s">
        <v>110</v>
      </c>
      <c r="C226" s="44" t="s">
        <v>111</v>
      </c>
      <c r="D226" t="str">
        <f>VLOOKUP(Q226,PROVINCIAS!B$3:$D$70,2,0)</f>
        <v>16</v>
      </c>
      <c r="E226" s="20" t="s">
        <v>108</v>
      </c>
      <c r="F226">
        <f t="shared" si="9"/>
        <v>80</v>
      </c>
      <c r="G226" s="44">
        <v>25</v>
      </c>
      <c r="I226" s="29">
        <f>VLOOKUP(Q226,PROVINCIAS!B$2:$D$70,3,FALSE)</f>
        <v>7</v>
      </c>
      <c r="K226" s="20" t="str">
        <f t="shared" si="10"/>
        <v>F</v>
      </c>
      <c r="Q226" s="44" t="s">
        <v>125</v>
      </c>
      <c r="R226">
        <v>0</v>
      </c>
      <c r="S226">
        <v>0</v>
      </c>
      <c r="U226">
        <f t="shared" si="11"/>
        <v>2</v>
      </c>
    </row>
    <row r="227" spans="1:21" x14ac:dyDescent="0.15">
      <c r="A227" s="44" t="s">
        <v>110</v>
      </c>
      <c r="C227" s="44" t="s">
        <v>111</v>
      </c>
      <c r="D227" t="str">
        <f>VLOOKUP(Q227,PROVINCIAS!B$3:$D$70,2,0)</f>
        <v>33</v>
      </c>
      <c r="E227" s="20" t="s">
        <v>108</v>
      </c>
      <c r="F227">
        <f t="shared" si="9"/>
        <v>80</v>
      </c>
      <c r="G227" s="44">
        <v>25</v>
      </c>
      <c r="I227" s="29">
        <f>VLOOKUP(Q227,PROVINCIAS!B$2:$D$70,3,FALSE)</f>
        <v>3</v>
      </c>
      <c r="K227" s="20" t="str">
        <f t="shared" si="10"/>
        <v>F</v>
      </c>
      <c r="Q227" s="44" t="s">
        <v>117</v>
      </c>
      <c r="R227">
        <v>0</v>
      </c>
      <c r="S227">
        <v>0</v>
      </c>
      <c r="U227">
        <f t="shared" si="11"/>
        <v>2</v>
      </c>
    </row>
    <row r="228" spans="1:21" x14ac:dyDescent="0.15">
      <c r="A228" s="44" t="s">
        <v>110</v>
      </c>
      <c r="C228" s="44" t="s">
        <v>111</v>
      </c>
      <c r="D228" t="str">
        <f>VLOOKUP(Q228,PROVINCIAS!B$3:$D$70,2,0)</f>
        <v>04</v>
      </c>
      <c r="E228" s="20" t="s">
        <v>108</v>
      </c>
      <c r="F228">
        <f t="shared" si="9"/>
        <v>80</v>
      </c>
      <c r="G228" s="44">
        <v>40</v>
      </c>
      <c r="I228" s="29">
        <f>VLOOKUP(Q228,PROVINCIAS!B$2:$D$70,3,FALSE)</f>
        <v>1</v>
      </c>
      <c r="K228" s="20" t="str">
        <f t="shared" si="10"/>
        <v>F</v>
      </c>
      <c r="Q228" s="44" t="s">
        <v>151</v>
      </c>
      <c r="R228">
        <v>0</v>
      </c>
      <c r="S228">
        <v>0</v>
      </c>
      <c r="U228">
        <f t="shared" si="11"/>
        <v>2</v>
      </c>
    </row>
    <row r="229" spans="1:21" x14ac:dyDescent="0.15">
      <c r="A229" s="44" t="s">
        <v>110</v>
      </c>
      <c r="C229" s="44" t="s">
        <v>111</v>
      </c>
      <c r="D229" t="str">
        <f>VLOOKUP(Q229,PROVINCIAS!B$3:$D$70,2,0)</f>
        <v>28</v>
      </c>
      <c r="E229" s="20" t="s">
        <v>108</v>
      </c>
      <c r="F229">
        <f t="shared" si="9"/>
        <v>80</v>
      </c>
      <c r="G229" s="45">
        <v>30</v>
      </c>
      <c r="I229" s="29">
        <f>VLOOKUP(Q229,PROVINCIAS!B$2:$D$70,3,FALSE)</f>
        <v>12</v>
      </c>
      <c r="K229" s="20" t="str">
        <f t="shared" si="10"/>
        <v>F</v>
      </c>
      <c r="Q229" s="45" t="s">
        <v>112</v>
      </c>
      <c r="R229">
        <v>0</v>
      </c>
      <c r="S229">
        <v>0</v>
      </c>
      <c r="U229">
        <f t="shared" si="11"/>
        <v>2</v>
      </c>
    </row>
    <row r="230" spans="1:21" x14ac:dyDescent="0.15">
      <c r="A230" s="44" t="s">
        <v>110</v>
      </c>
      <c r="C230" s="44" t="s">
        <v>111</v>
      </c>
      <c r="D230" t="str">
        <f>VLOOKUP(Q230,PROVINCIAS!B$3:$D$70,2,0)</f>
        <v>28</v>
      </c>
      <c r="E230" s="20" t="s">
        <v>108</v>
      </c>
      <c r="F230">
        <f t="shared" si="9"/>
        <v>80</v>
      </c>
      <c r="G230" s="44">
        <v>50</v>
      </c>
      <c r="I230" s="29">
        <f>VLOOKUP(Q230,PROVINCIAS!B$2:$D$70,3,FALSE)</f>
        <v>12</v>
      </c>
      <c r="K230" s="20" t="str">
        <f t="shared" si="10"/>
        <v>F</v>
      </c>
      <c r="Q230" s="44" t="s">
        <v>112</v>
      </c>
      <c r="R230">
        <v>0</v>
      </c>
      <c r="S230">
        <v>0</v>
      </c>
      <c r="U230">
        <f t="shared" si="11"/>
        <v>2</v>
      </c>
    </row>
    <row r="231" spans="1:21" x14ac:dyDescent="0.15">
      <c r="A231" s="44" t="s">
        <v>110</v>
      </c>
      <c r="C231" s="44" t="s">
        <v>111</v>
      </c>
      <c r="D231" t="str">
        <f>VLOOKUP(Q231,PROVINCIAS!B$3:$D$70,2,0)</f>
        <v>28</v>
      </c>
      <c r="E231" s="20" t="s">
        <v>108</v>
      </c>
      <c r="F231">
        <f t="shared" si="9"/>
        <v>80</v>
      </c>
      <c r="G231" s="45">
        <v>25</v>
      </c>
      <c r="I231" s="29">
        <f>VLOOKUP(Q231,PROVINCIAS!B$2:$D$70,3,FALSE)</f>
        <v>12</v>
      </c>
      <c r="K231" s="20" t="str">
        <f t="shared" si="10"/>
        <v>F</v>
      </c>
      <c r="Q231" s="45" t="s">
        <v>112</v>
      </c>
      <c r="R231">
        <v>0</v>
      </c>
      <c r="S231">
        <v>0</v>
      </c>
      <c r="U231">
        <f t="shared" si="11"/>
        <v>2</v>
      </c>
    </row>
    <row r="232" spans="1:21" x14ac:dyDescent="0.15">
      <c r="A232" s="44" t="s">
        <v>110</v>
      </c>
      <c r="C232" s="44" t="s">
        <v>111</v>
      </c>
      <c r="D232" t="str">
        <f>VLOOKUP(Q232,PROVINCIAS!B$3:$D$70,2,0)</f>
        <v>33</v>
      </c>
      <c r="E232" s="20" t="s">
        <v>108</v>
      </c>
      <c r="F232">
        <f t="shared" si="9"/>
        <v>80</v>
      </c>
      <c r="G232" s="44">
        <v>30</v>
      </c>
      <c r="I232" s="29">
        <f>VLOOKUP(Q232,PROVINCIAS!B$2:$D$70,3,FALSE)</f>
        <v>3</v>
      </c>
      <c r="K232" s="20" t="str">
        <f t="shared" si="10"/>
        <v>F</v>
      </c>
      <c r="Q232" s="44" t="s">
        <v>117</v>
      </c>
      <c r="R232">
        <v>0</v>
      </c>
      <c r="S232">
        <v>0</v>
      </c>
      <c r="U232">
        <f t="shared" si="11"/>
        <v>2</v>
      </c>
    </row>
    <row r="233" spans="1:21" x14ac:dyDescent="0.15">
      <c r="A233" s="44" t="s">
        <v>110</v>
      </c>
      <c r="C233" s="44" t="s">
        <v>111</v>
      </c>
      <c r="D233" t="str">
        <f>VLOOKUP(Q233,PROVINCIAS!B$3:$D$70,2,0)</f>
        <v>36</v>
      </c>
      <c r="E233" s="20" t="s">
        <v>108</v>
      </c>
      <c r="F233">
        <f t="shared" si="9"/>
        <v>80</v>
      </c>
      <c r="G233" s="44">
        <v>25</v>
      </c>
      <c r="I233" s="29">
        <f>VLOOKUP(Q233,PROVINCIAS!B$2:$D$70,3,FALSE)</f>
        <v>11</v>
      </c>
      <c r="K233" s="20" t="str">
        <f t="shared" si="10"/>
        <v>F</v>
      </c>
      <c r="Q233" s="44" t="s">
        <v>154</v>
      </c>
      <c r="R233">
        <v>0</v>
      </c>
      <c r="S233">
        <v>0</v>
      </c>
      <c r="U233">
        <f t="shared" si="11"/>
        <v>2</v>
      </c>
    </row>
    <row r="234" spans="1:21" x14ac:dyDescent="0.15">
      <c r="A234" s="44" t="s">
        <v>110</v>
      </c>
      <c r="C234" s="44" t="s">
        <v>111</v>
      </c>
      <c r="D234" t="str">
        <f>VLOOKUP(Q234,PROVINCIAS!B$3:$D$70,2,0)</f>
        <v>28</v>
      </c>
      <c r="E234" s="20" t="s">
        <v>108</v>
      </c>
      <c r="F234">
        <f t="shared" si="9"/>
        <v>80</v>
      </c>
      <c r="G234" s="45">
        <v>40</v>
      </c>
      <c r="I234" s="29">
        <f>VLOOKUP(Q234,PROVINCIAS!B$2:$D$70,3,FALSE)</f>
        <v>12</v>
      </c>
      <c r="K234" s="20" t="str">
        <f t="shared" si="10"/>
        <v>F</v>
      </c>
      <c r="Q234" s="45" t="s">
        <v>112</v>
      </c>
      <c r="R234">
        <v>0</v>
      </c>
      <c r="S234">
        <v>0</v>
      </c>
      <c r="U234">
        <f t="shared" si="11"/>
        <v>2</v>
      </c>
    </row>
    <row r="235" spans="1:21" x14ac:dyDescent="0.15">
      <c r="A235" s="44" t="s">
        <v>110</v>
      </c>
      <c r="C235" s="44" t="s">
        <v>111</v>
      </c>
      <c r="D235" t="str">
        <f>VLOOKUP(Q235,PROVINCIAS!B$3:$D$70,2,0)</f>
        <v>09</v>
      </c>
      <c r="E235" s="20" t="s">
        <v>108</v>
      </c>
      <c r="F235">
        <f t="shared" si="9"/>
        <v>80</v>
      </c>
      <c r="G235" s="44">
        <v>25</v>
      </c>
      <c r="I235" s="29">
        <f>VLOOKUP(Q235,PROVINCIAS!B$2:$D$70,3,FALSE)</f>
        <v>8</v>
      </c>
      <c r="K235" s="20" t="str">
        <f t="shared" si="10"/>
        <v>F</v>
      </c>
      <c r="Q235" s="44" t="s">
        <v>127</v>
      </c>
      <c r="R235">
        <v>0</v>
      </c>
      <c r="S235">
        <v>0</v>
      </c>
      <c r="U235">
        <f t="shared" si="11"/>
        <v>2</v>
      </c>
    </row>
    <row r="236" spans="1:21" x14ac:dyDescent="0.15">
      <c r="A236" s="44" t="s">
        <v>110</v>
      </c>
      <c r="C236" s="44" t="s">
        <v>111</v>
      </c>
      <c r="D236" t="str">
        <f>VLOOKUP(Q236,PROVINCIAS!B$3:$D$70,2,0)</f>
        <v>33</v>
      </c>
      <c r="E236" s="20" t="s">
        <v>108</v>
      </c>
      <c r="F236">
        <f t="shared" si="9"/>
        <v>80</v>
      </c>
      <c r="G236" s="45">
        <v>25</v>
      </c>
      <c r="I236" s="29">
        <f>VLOOKUP(Q236,PROVINCIAS!B$2:$D$70,3,FALSE)</f>
        <v>3</v>
      </c>
      <c r="K236" s="20" t="str">
        <f t="shared" si="10"/>
        <v>F</v>
      </c>
      <c r="Q236" s="45" t="s">
        <v>117</v>
      </c>
      <c r="R236">
        <v>0</v>
      </c>
      <c r="S236">
        <v>0</v>
      </c>
      <c r="U236">
        <f t="shared" si="11"/>
        <v>2</v>
      </c>
    </row>
    <row r="237" spans="1:21" x14ac:dyDescent="0.15">
      <c r="A237" s="44" t="s">
        <v>110</v>
      </c>
      <c r="C237" s="44" t="s">
        <v>111</v>
      </c>
      <c r="D237" t="str">
        <f>VLOOKUP(Q237,PROVINCIAS!B$3:$D$70,2,0)</f>
        <v>28</v>
      </c>
      <c r="E237" s="20" t="s">
        <v>108</v>
      </c>
      <c r="F237">
        <f t="shared" si="9"/>
        <v>80</v>
      </c>
      <c r="G237" s="45">
        <v>25</v>
      </c>
      <c r="I237" s="29">
        <f>VLOOKUP(Q237,PROVINCIAS!B$2:$D$70,3,FALSE)</f>
        <v>12</v>
      </c>
      <c r="K237" s="20" t="str">
        <f t="shared" si="10"/>
        <v>F</v>
      </c>
      <c r="Q237" s="45" t="s">
        <v>112</v>
      </c>
      <c r="R237">
        <v>0</v>
      </c>
      <c r="S237">
        <v>0</v>
      </c>
      <c r="U237">
        <f t="shared" si="11"/>
        <v>2</v>
      </c>
    </row>
    <row r="238" spans="1:21" x14ac:dyDescent="0.15">
      <c r="A238" s="44" t="s">
        <v>110</v>
      </c>
      <c r="C238" s="44" t="s">
        <v>111</v>
      </c>
      <c r="D238" t="str">
        <f>VLOOKUP(Q238,PROVINCIAS!B$3:$D$70,2,0)</f>
        <v>07</v>
      </c>
      <c r="E238" s="20" t="s">
        <v>108</v>
      </c>
      <c r="F238">
        <f t="shared" si="9"/>
        <v>80</v>
      </c>
      <c r="G238" s="44">
        <v>30</v>
      </c>
      <c r="I238" s="29">
        <f>VLOOKUP(Q238,PROVINCIAS!B$2:$D$70,3,FALSE)</f>
        <v>4</v>
      </c>
      <c r="K238" s="20" t="str">
        <f t="shared" si="10"/>
        <v>F</v>
      </c>
      <c r="Q238" s="44" t="s">
        <v>155</v>
      </c>
      <c r="R238">
        <v>0</v>
      </c>
      <c r="S238">
        <v>0</v>
      </c>
      <c r="U238">
        <f t="shared" si="11"/>
        <v>2</v>
      </c>
    </row>
    <row r="239" spans="1:21" x14ac:dyDescent="0.15">
      <c r="A239" s="44" t="s">
        <v>110</v>
      </c>
      <c r="C239" s="44" t="s">
        <v>111</v>
      </c>
      <c r="D239" t="str">
        <f>VLOOKUP(Q239,PROVINCIAS!B$3:$D$70,2,0)</f>
        <v>36</v>
      </c>
      <c r="E239" s="20" t="s">
        <v>108</v>
      </c>
      <c r="F239">
        <f t="shared" si="9"/>
        <v>80</v>
      </c>
      <c r="G239" s="44">
        <v>40</v>
      </c>
      <c r="I239" s="29">
        <f>VLOOKUP(Q239,PROVINCIAS!B$2:$D$70,3,FALSE)</f>
        <v>11</v>
      </c>
      <c r="K239" s="20" t="str">
        <f t="shared" si="10"/>
        <v>F</v>
      </c>
      <c r="Q239" s="44" t="s">
        <v>154</v>
      </c>
      <c r="R239">
        <v>0</v>
      </c>
      <c r="S239">
        <v>0</v>
      </c>
      <c r="U239">
        <f t="shared" si="11"/>
        <v>2</v>
      </c>
    </row>
    <row r="240" spans="1:21" x14ac:dyDescent="0.15">
      <c r="A240" s="44" t="s">
        <v>110</v>
      </c>
      <c r="C240" s="44" t="s">
        <v>111</v>
      </c>
      <c r="D240" t="str">
        <f>VLOOKUP(Q240,PROVINCIAS!B$3:$D$70,2,0)</f>
        <v>24</v>
      </c>
      <c r="E240" s="20" t="s">
        <v>108</v>
      </c>
      <c r="F240">
        <f t="shared" si="9"/>
        <v>80</v>
      </c>
      <c r="G240" s="45">
        <v>25</v>
      </c>
      <c r="I240" s="29">
        <f>VLOOKUP(Q240,PROVINCIAS!B$2:$D$70,3,FALSE)</f>
        <v>8</v>
      </c>
      <c r="K240" s="20" t="str">
        <f t="shared" si="10"/>
        <v>F</v>
      </c>
      <c r="Q240" s="45" t="s">
        <v>132</v>
      </c>
      <c r="R240">
        <v>0</v>
      </c>
      <c r="S240">
        <v>0</v>
      </c>
      <c r="U240">
        <f t="shared" si="11"/>
        <v>2</v>
      </c>
    </row>
    <row r="241" spans="1:21" x14ac:dyDescent="0.15">
      <c r="A241" s="44" t="s">
        <v>110</v>
      </c>
      <c r="C241" s="44" t="s">
        <v>111</v>
      </c>
      <c r="D241" t="str">
        <f>VLOOKUP(Q241,PROVINCIAS!B$3:$D$70,2,0)</f>
        <v>48</v>
      </c>
      <c r="E241" s="20" t="s">
        <v>108</v>
      </c>
      <c r="F241">
        <f t="shared" si="9"/>
        <v>80</v>
      </c>
      <c r="G241" s="45">
        <v>30</v>
      </c>
      <c r="I241" s="29">
        <f>VLOOKUP(Q241,PROVINCIAS!B$2:$D$70,3,FALSE)</f>
        <v>0</v>
      </c>
      <c r="K241" s="20" t="str">
        <f t="shared" si="10"/>
        <v>F</v>
      </c>
      <c r="Q241" s="45" t="s">
        <v>142</v>
      </c>
      <c r="R241">
        <v>0</v>
      </c>
      <c r="S241">
        <v>0</v>
      </c>
      <c r="U241">
        <f t="shared" si="11"/>
        <v>2</v>
      </c>
    </row>
    <row r="242" spans="1:21" x14ac:dyDescent="0.15">
      <c r="A242" s="44" t="s">
        <v>110</v>
      </c>
      <c r="C242" s="44" t="s">
        <v>111</v>
      </c>
      <c r="D242" t="str">
        <f>VLOOKUP(Q242,PROVINCIAS!B$3:$D$70,2,0)</f>
        <v>43</v>
      </c>
      <c r="E242" s="20" t="s">
        <v>108</v>
      </c>
      <c r="F242">
        <f t="shared" si="9"/>
        <v>80</v>
      </c>
      <c r="G242" s="44">
        <v>60</v>
      </c>
      <c r="I242" s="29">
        <f>VLOOKUP(Q242,PROVINCIAS!B$2:$D$70,3,FALSE)</f>
        <v>9</v>
      </c>
      <c r="K242" s="20" t="str">
        <f t="shared" si="10"/>
        <v>F</v>
      </c>
      <c r="Q242" s="44" t="s">
        <v>135</v>
      </c>
      <c r="R242">
        <v>0</v>
      </c>
      <c r="S242">
        <v>0</v>
      </c>
      <c r="U242">
        <f t="shared" si="11"/>
        <v>2</v>
      </c>
    </row>
    <row r="243" spans="1:21" x14ac:dyDescent="0.15">
      <c r="A243" s="44" t="s">
        <v>110</v>
      </c>
      <c r="C243" s="44" t="s">
        <v>111</v>
      </c>
      <c r="D243" t="str">
        <f>VLOOKUP(Q243,PROVINCIAS!B$3:$D$70,2,0)</f>
        <v>38</v>
      </c>
      <c r="E243" s="20" t="s">
        <v>108</v>
      </c>
      <c r="F243">
        <f t="shared" si="9"/>
        <v>80</v>
      </c>
      <c r="G243" s="44">
        <v>25</v>
      </c>
      <c r="I243" s="29">
        <f>VLOOKUP(Q243,PROVINCIAS!B$2:$D$70,3,FALSE)</f>
        <v>0</v>
      </c>
      <c r="K243" s="20" t="str">
        <f t="shared" si="10"/>
        <v>F</v>
      </c>
      <c r="Q243" s="44" t="s">
        <v>156</v>
      </c>
      <c r="R243">
        <v>0</v>
      </c>
      <c r="S243">
        <v>0</v>
      </c>
      <c r="U243">
        <f t="shared" si="11"/>
        <v>2</v>
      </c>
    </row>
    <row r="244" spans="1:21" x14ac:dyDescent="0.15">
      <c r="A244" s="44" t="s">
        <v>110</v>
      </c>
      <c r="C244" s="44" t="s">
        <v>111</v>
      </c>
      <c r="D244" t="str">
        <f>VLOOKUP(Q244,PROVINCIAS!B$3:$D$70,2,0)</f>
        <v>46</v>
      </c>
      <c r="E244" s="20" t="s">
        <v>108</v>
      </c>
      <c r="F244">
        <f t="shared" si="9"/>
        <v>80</v>
      </c>
      <c r="G244" s="44">
        <v>25</v>
      </c>
      <c r="I244" s="29">
        <f>VLOOKUP(Q244,PROVINCIAS!B$2:$D$70,3,FALSE)</f>
        <v>17</v>
      </c>
      <c r="K244" s="20" t="str">
        <f t="shared" si="10"/>
        <v>F</v>
      </c>
      <c r="Q244" s="44" t="s">
        <v>120</v>
      </c>
      <c r="R244">
        <v>0</v>
      </c>
      <c r="S244">
        <v>0</v>
      </c>
      <c r="U244">
        <f t="shared" si="11"/>
        <v>2</v>
      </c>
    </row>
    <row r="245" spans="1:21" x14ac:dyDescent="0.15">
      <c r="A245" s="44" t="s">
        <v>110</v>
      </c>
      <c r="C245" s="44" t="s">
        <v>111</v>
      </c>
      <c r="D245" t="str">
        <f>VLOOKUP(Q245,PROVINCIAS!B$3:$D$70,2,0)</f>
        <v>28</v>
      </c>
      <c r="E245" s="20" t="s">
        <v>108</v>
      </c>
      <c r="F245">
        <f t="shared" si="9"/>
        <v>80</v>
      </c>
      <c r="G245" s="45">
        <v>40</v>
      </c>
      <c r="I245" s="29">
        <f>VLOOKUP(Q245,PROVINCIAS!B$2:$D$70,3,FALSE)</f>
        <v>12</v>
      </c>
      <c r="K245" s="20" t="str">
        <f t="shared" si="10"/>
        <v>F</v>
      </c>
      <c r="Q245" s="45" t="s">
        <v>112</v>
      </c>
      <c r="R245">
        <v>0</v>
      </c>
      <c r="S245">
        <v>0</v>
      </c>
      <c r="U245">
        <f t="shared" si="11"/>
        <v>2</v>
      </c>
    </row>
    <row r="246" spans="1:21" x14ac:dyDescent="0.15">
      <c r="A246" s="44" t="s">
        <v>110</v>
      </c>
      <c r="C246" s="44" t="s">
        <v>111</v>
      </c>
      <c r="D246" t="str">
        <f>VLOOKUP(Q246,PROVINCIAS!B$3:$D$70,2,0)</f>
        <v>28</v>
      </c>
      <c r="E246" s="20" t="s">
        <v>108</v>
      </c>
      <c r="F246">
        <f t="shared" si="9"/>
        <v>80</v>
      </c>
      <c r="G246" s="45">
        <v>30</v>
      </c>
      <c r="I246" s="29">
        <f>VLOOKUP(Q246,PROVINCIAS!B$2:$D$70,3,FALSE)</f>
        <v>12</v>
      </c>
      <c r="K246" s="20" t="str">
        <f t="shared" si="10"/>
        <v>F</v>
      </c>
      <c r="Q246" s="45" t="s">
        <v>112</v>
      </c>
      <c r="R246">
        <v>0</v>
      </c>
      <c r="S246">
        <v>0</v>
      </c>
      <c r="U246">
        <f t="shared" si="11"/>
        <v>2</v>
      </c>
    </row>
    <row r="247" spans="1:21" x14ac:dyDescent="0.15">
      <c r="A247" s="44" t="s">
        <v>110</v>
      </c>
      <c r="C247" s="44" t="s">
        <v>111</v>
      </c>
      <c r="D247" t="str">
        <f>VLOOKUP(Q247,PROVINCIAS!B$3:$D$70,2,0)</f>
        <v>28</v>
      </c>
      <c r="E247" s="20" t="s">
        <v>108</v>
      </c>
      <c r="F247">
        <f t="shared" si="9"/>
        <v>80</v>
      </c>
      <c r="G247" s="44">
        <v>30</v>
      </c>
      <c r="I247" s="29">
        <f>VLOOKUP(Q247,PROVINCIAS!B$2:$D$70,3,FALSE)</f>
        <v>12</v>
      </c>
      <c r="K247" s="20" t="str">
        <f t="shared" si="10"/>
        <v>F</v>
      </c>
      <c r="Q247" s="44" t="s">
        <v>112</v>
      </c>
      <c r="R247">
        <v>0</v>
      </c>
      <c r="S247">
        <v>0</v>
      </c>
      <c r="U247">
        <f t="shared" si="11"/>
        <v>2</v>
      </c>
    </row>
    <row r="248" spans="1:21" x14ac:dyDescent="0.15">
      <c r="A248" s="44" t="s">
        <v>110</v>
      </c>
      <c r="C248" s="44" t="s">
        <v>111</v>
      </c>
      <c r="D248">
        <f>VLOOKUP(Q248,PROVINCIAS!B$3:$D$70,2,0)</f>
        <v>15</v>
      </c>
      <c r="E248" s="20" t="s">
        <v>108</v>
      </c>
      <c r="F248">
        <f t="shared" si="9"/>
        <v>80</v>
      </c>
      <c r="G248" s="45">
        <v>25</v>
      </c>
      <c r="I248" s="29">
        <f>VLOOKUP(Q248,PROVINCIAS!B$2:$D$70,3,FALSE)</f>
        <v>11</v>
      </c>
      <c r="K248" s="20" t="str">
        <f t="shared" si="10"/>
        <v>F</v>
      </c>
      <c r="Q248" s="45" t="s">
        <v>147</v>
      </c>
      <c r="R248">
        <v>0</v>
      </c>
      <c r="S248">
        <v>0</v>
      </c>
      <c r="U248">
        <f t="shared" si="11"/>
        <v>2</v>
      </c>
    </row>
    <row r="249" spans="1:21" x14ac:dyDescent="0.15">
      <c r="A249" s="44" t="s">
        <v>110</v>
      </c>
      <c r="C249" s="44" t="s">
        <v>111</v>
      </c>
      <c r="D249" t="str">
        <f>VLOOKUP(Q249,PROVINCIAS!B$3:$D$70,2,0)</f>
        <v>08</v>
      </c>
      <c r="E249" s="20" t="s">
        <v>108</v>
      </c>
      <c r="F249">
        <f t="shared" si="9"/>
        <v>80</v>
      </c>
      <c r="G249" s="45">
        <v>50</v>
      </c>
      <c r="I249" s="29">
        <f>VLOOKUP(Q249,PROVINCIAS!B$2:$D$70,3,FALSE)</f>
        <v>9</v>
      </c>
      <c r="K249" s="20" t="str">
        <f t="shared" si="10"/>
        <v>F</v>
      </c>
      <c r="Q249" s="45" t="s">
        <v>128</v>
      </c>
      <c r="R249">
        <v>0</v>
      </c>
      <c r="S249">
        <v>0</v>
      </c>
      <c r="U249">
        <f t="shared" si="11"/>
        <v>2</v>
      </c>
    </row>
    <row r="250" spans="1:21" x14ac:dyDescent="0.15">
      <c r="A250" s="44" t="s">
        <v>110</v>
      </c>
      <c r="C250" s="44" t="s">
        <v>111</v>
      </c>
      <c r="D250" t="str">
        <f>VLOOKUP(Q250,PROVINCIAS!B$3:$D$70,2,0)</f>
        <v>20</v>
      </c>
      <c r="E250" s="20" t="s">
        <v>108</v>
      </c>
      <c r="F250">
        <f t="shared" si="9"/>
        <v>80</v>
      </c>
      <c r="G250" s="44">
        <v>25</v>
      </c>
      <c r="I250" s="29">
        <f>VLOOKUP(Q250,PROVINCIAS!B$2:$D$70,3,FALSE)</f>
        <v>0</v>
      </c>
      <c r="K250" s="20" t="str">
        <f t="shared" si="10"/>
        <v>F</v>
      </c>
      <c r="Q250" s="44" t="s">
        <v>116</v>
      </c>
      <c r="R250">
        <v>0</v>
      </c>
      <c r="S250">
        <v>0</v>
      </c>
      <c r="U250">
        <f t="shared" si="11"/>
        <v>2</v>
      </c>
    </row>
    <row r="251" spans="1:21" x14ac:dyDescent="0.15">
      <c r="A251" s="44" t="s">
        <v>110</v>
      </c>
      <c r="C251" s="44" t="s">
        <v>111</v>
      </c>
      <c r="D251" t="str">
        <f>VLOOKUP(Q251,PROVINCIAS!B$3:$D$70,2,0)</f>
        <v>08</v>
      </c>
      <c r="E251" s="20" t="s">
        <v>108</v>
      </c>
      <c r="F251">
        <f t="shared" si="9"/>
        <v>80</v>
      </c>
      <c r="G251" s="45">
        <v>60</v>
      </c>
      <c r="I251" s="29">
        <f>VLOOKUP(Q251,PROVINCIAS!B$2:$D$70,3,FALSE)</f>
        <v>9</v>
      </c>
      <c r="K251" s="20" t="str">
        <f t="shared" si="10"/>
        <v>F</v>
      </c>
      <c r="Q251" s="45" t="s">
        <v>128</v>
      </c>
      <c r="R251">
        <v>0</v>
      </c>
      <c r="S251">
        <v>0</v>
      </c>
      <c r="U251">
        <f t="shared" si="11"/>
        <v>2</v>
      </c>
    </row>
    <row r="252" spans="1:21" x14ac:dyDescent="0.15">
      <c r="A252" s="44" t="s">
        <v>110</v>
      </c>
      <c r="C252" s="44" t="s">
        <v>111</v>
      </c>
      <c r="D252" t="str">
        <f>VLOOKUP(Q252,PROVINCIAS!B$3:$D$70,2,0)</f>
        <v>28</v>
      </c>
      <c r="E252" s="20" t="s">
        <v>108</v>
      </c>
      <c r="F252">
        <f t="shared" si="9"/>
        <v>80</v>
      </c>
      <c r="G252" s="44">
        <v>30</v>
      </c>
      <c r="I252" s="29">
        <f>VLOOKUP(Q252,PROVINCIAS!B$2:$D$70,3,FALSE)</f>
        <v>12</v>
      </c>
      <c r="K252" s="20" t="str">
        <f t="shared" si="10"/>
        <v>F</v>
      </c>
      <c r="Q252" s="44" t="s">
        <v>112</v>
      </c>
      <c r="R252">
        <v>0</v>
      </c>
      <c r="S252">
        <v>0</v>
      </c>
      <c r="U252">
        <f t="shared" si="11"/>
        <v>2</v>
      </c>
    </row>
    <row r="253" spans="1:21" x14ac:dyDescent="0.15">
      <c r="A253" s="44" t="s">
        <v>110</v>
      </c>
      <c r="C253" s="44" t="s">
        <v>111</v>
      </c>
      <c r="D253" t="str">
        <f>VLOOKUP(Q253,PROVINCIAS!B$3:$D$70,2,0)</f>
        <v>33</v>
      </c>
      <c r="E253" s="20" t="s">
        <v>108</v>
      </c>
      <c r="F253">
        <f t="shared" si="9"/>
        <v>80</v>
      </c>
      <c r="G253" s="44">
        <v>29</v>
      </c>
      <c r="I253" s="29">
        <f>VLOOKUP(Q253,PROVINCIAS!B$2:$D$70,3,FALSE)</f>
        <v>3</v>
      </c>
      <c r="K253" s="20" t="str">
        <f t="shared" si="10"/>
        <v>F</v>
      </c>
      <c r="Q253" s="44" t="s">
        <v>117</v>
      </c>
      <c r="R253">
        <v>0</v>
      </c>
      <c r="S253">
        <v>0</v>
      </c>
      <c r="U253">
        <f t="shared" si="11"/>
        <v>2</v>
      </c>
    </row>
    <row r="254" spans="1:21" x14ac:dyDescent="0.15">
      <c r="A254" s="44" t="s">
        <v>110</v>
      </c>
      <c r="C254" s="44" t="s">
        <v>111</v>
      </c>
      <c r="D254" t="str">
        <f>VLOOKUP(Q254,PROVINCIAS!B$3:$D$70,2,0)</f>
        <v>33</v>
      </c>
      <c r="E254" s="20" t="s">
        <v>108</v>
      </c>
      <c r="F254">
        <f t="shared" si="9"/>
        <v>80</v>
      </c>
      <c r="G254" s="44">
        <v>70</v>
      </c>
      <c r="I254" s="29">
        <f>VLOOKUP(Q254,PROVINCIAS!B$2:$D$70,3,FALSE)</f>
        <v>3</v>
      </c>
      <c r="K254" s="20" t="str">
        <f t="shared" si="10"/>
        <v>F</v>
      </c>
      <c r="Q254" s="44" t="s">
        <v>117</v>
      </c>
      <c r="R254">
        <v>0</v>
      </c>
      <c r="S254">
        <v>0</v>
      </c>
      <c r="U254">
        <f t="shared" si="11"/>
        <v>2</v>
      </c>
    </row>
    <row r="255" spans="1:21" x14ac:dyDescent="0.15">
      <c r="A255" s="44" t="s">
        <v>110</v>
      </c>
      <c r="C255" s="44" t="s">
        <v>111</v>
      </c>
      <c r="D255" t="str">
        <f>VLOOKUP(Q255,PROVINCIAS!B$3:$D$70,2,0)</f>
        <v>47</v>
      </c>
      <c r="E255" s="20" t="s">
        <v>108</v>
      </c>
      <c r="F255">
        <f t="shared" si="9"/>
        <v>80</v>
      </c>
      <c r="G255" s="45">
        <v>25</v>
      </c>
      <c r="I255" s="29">
        <f>VLOOKUP(Q255,PROVINCIAS!B$2:$D$70,3,FALSE)</f>
        <v>8</v>
      </c>
      <c r="K255" s="20" t="str">
        <f t="shared" si="10"/>
        <v>F</v>
      </c>
      <c r="Q255" s="45" t="s">
        <v>130</v>
      </c>
      <c r="R255">
        <v>0</v>
      </c>
      <c r="S255">
        <v>0</v>
      </c>
      <c r="U255">
        <f t="shared" si="11"/>
        <v>2</v>
      </c>
    </row>
    <row r="256" spans="1:21" x14ac:dyDescent="0.15">
      <c r="A256" s="44" t="s">
        <v>110</v>
      </c>
      <c r="C256" s="44" t="s">
        <v>111</v>
      </c>
      <c r="D256" t="str">
        <f>VLOOKUP(Q256,PROVINCIAS!B$3:$D$70,2,0)</f>
        <v>28</v>
      </c>
      <c r="E256" s="20" t="s">
        <v>108</v>
      </c>
      <c r="F256">
        <f t="shared" si="9"/>
        <v>80</v>
      </c>
      <c r="G256" s="45">
        <v>25</v>
      </c>
      <c r="I256" s="29">
        <f>VLOOKUP(Q256,PROVINCIAS!B$2:$D$70,3,FALSE)</f>
        <v>12</v>
      </c>
      <c r="K256" s="20" t="str">
        <f t="shared" si="10"/>
        <v>F</v>
      </c>
      <c r="Q256" s="45" t="s">
        <v>112</v>
      </c>
      <c r="R256">
        <v>0</v>
      </c>
      <c r="S256">
        <v>0</v>
      </c>
      <c r="U256">
        <f t="shared" si="11"/>
        <v>2</v>
      </c>
    </row>
    <row r="257" spans="1:21" x14ac:dyDescent="0.15">
      <c r="A257" s="44" t="s">
        <v>110</v>
      </c>
      <c r="C257" s="44" t="s">
        <v>111</v>
      </c>
      <c r="D257" t="str">
        <f>VLOOKUP(Q257,PROVINCIAS!B$3:$D$70,2,0)</f>
        <v>28</v>
      </c>
      <c r="E257" s="20" t="s">
        <v>108</v>
      </c>
      <c r="F257">
        <f t="shared" si="9"/>
        <v>80</v>
      </c>
      <c r="G257" s="45">
        <v>25</v>
      </c>
      <c r="I257" s="29">
        <f>VLOOKUP(Q257,PROVINCIAS!B$2:$D$70,3,FALSE)</f>
        <v>12</v>
      </c>
      <c r="K257" s="20" t="str">
        <f t="shared" si="10"/>
        <v>F</v>
      </c>
      <c r="Q257" s="45" t="s">
        <v>112</v>
      </c>
      <c r="R257">
        <v>0</v>
      </c>
      <c r="S257">
        <v>0</v>
      </c>
      <c r="U257">
        <f t="shared" si="11"/>
        <v>2</v>
      </c>
    </row>
    <row r="258" spans="1:21" x14ac:dyDescent="0.15">
      <c r="A258" s="44" t="s">
        <v>110</v>
      </c>
      <c r="C258" s="44" t="s">
        <v>111</v>
      </c>
      <c r="D258" t="str">
        <f>VLOOKUP(Q258,PROVINCIAS!B$3:$D$70,2,0)</f>
        <v>01</v>
      </c>
      <c r="E258" s="20" t="s">
        <v>108</v>
      </c>
      <c r="F258">
        <f t="shared" si="9"/>
        <v>80</v>
      </c>
      <c r="G258" s="45">
        <v>25</v>
      </c>
      <c r="I258" s="29">
        <f>VLOOKUP(Q258,PROVINCIAS!B$2:$D$70,3,FALSE)</f>
        <v>0</v>
      </c>
      <c r="K258" s="20" t="str">
        <f t="shared" si="10"/>
        <v>F</v>
      </c>
      <c r="Q258" s="45" t="s">
        <v>131</v>
      </c>
      <c r="R258">
        <v>0</v>
      </c>
      <c r="S258">
        <v>0</v>
      </c>
      <c r="U258">
        <f t="shared" si="11"/>
        <v>2</v>
      </c>
    </row>
    <row r="259" spans="1:21" x14ac:dyDescent="0.15">
      <c r="A259" s="44" t="s">
        <v>110</v>
      </c>
      <c r="C259" s="44" t="s">
        <v>111</v>
      </c>
      <c r="D259" t="str">
        <f>VLOOKUP(Q259,PROVINCIAS!B$3:$D$70,2,0)</f>
        <v>21</v>
      </c>
      <c r="E259" s="20" t="s">
        <v>108</v>
      </c>
      <c r="F259">
        <f t="shared" ref="F259:F322" si="12">GetDeduccion2016(G259,U259,K259)</f>
        <v>80</v>
      </c>
      <c r="G259" s="44">
        <v>60</v>
      </c>
      <c r="I259" s="29">
        <f>VLOOKUP(Q259,PROVINCIAS!B$2:$D$70,3,FALSE)</f>
        <v>1</v>
      </c>
      <c r="K259" s="20" t="str">
        <f t="shared" ref="K259:K322" si="13">GetNaturaleza(A259)</f>
        <v>F</v>
      </c>
      <c r="Q259" s="44" t="s">
        <v>150</v>
      </c>
      <c r="R259">
        <v>0</v>
      </c>
      <c r="S259">
        <v>0</v>
      </c>
      <c r="U259">
        <f t="shared" ref="U259:U322" si="14">GetRecurrente(G259,R259,S259,T259)</f>
        <v>2</v>
      </c>
    </row>
    <row r="260" spans="1:21" x14ac:dyDescent="0.15">
      <c r="A260" s="44" t="s">
        <v>110</v>
      </c>
      <c r="C260" s="44" t="s">
        <v>111</v>
      </c>
      <c r="D260" t="str">
        <f>VLOOKUP(Q260,PROVINCIAS!B$3:$D$70,2,0)</f>
        <v>28</v>
      </c>
      <c r="E260" s="20" t="s">
        <v>108</v>
      </c>
      <c r="F260">
        <f t="shared" si="12"/>
        <v>80</v>
      </c>
      <c r="G260" s="45">
        <v>30</v>
      </c>
      <c r="I260" s="29">
        <f>VLOOKUP(Q260,PROVINCIAS!B$2:$D$70,3,FALSE)</f>
        <v>12</v>
      </c>
      <c r="K260" s="20" t="str">
        <f t="shared" si="13"/>
        <v>F</v>
      </c>
      <c r="Q260" s="45" t="s">
        <v>112</v>
      </c>
      <c r="R260">
        <v>0</v>
      </c>
      <c r="S260">
        <v>0</v>
      </c>
      <c r="U260">
        <f t="shared" si="14"/>
        <v>2</v>
      </c>
    </row>
    <row r="261" spans="1:21" x14ac:dyDescent="0.15">
      <c r="A261" s="44" t="s">
        <v>110</v>
      </c>
      <c r="C261" s="44" t="s">
        <v>111</v>
      </c>
      <c r="D261">
        <f>VLOOKUP(Q261,PROVINCIAS!B$3:$D$70,2,0)</f>
        <v>17</v>
      </c>
      <c r="E261" s="20" t="s">
        <v>108</v>
      </c>
      <c r="F261">
        <f t="shared" si="12"/>
        <v>80</v>
      </c>
      <c r="G261" s="44">
        <v>25</v>
      </c>
      <c r="I261" s="29">
        <f>VLOOKUP(Q261,PROVINCIAS!B$2:$D$70,3,FALSE)</f>
        <v>9</v>
      </c>
      <c r="K261" s="20" t="str">
        <f t="shared" si="13"/>
        <v>F</v>
      </c>
      <c r="Q261" s="44" t="s">
        <v>148</v>
      </c>
      <c r="R261">
        <v>0</v>
      </c>
      <c r="S261">
        <v>0</v>
      </c>
      <c r="U261">
        <f t="shared" si="14"/>
        <v>2</v>
      </c>
    </row>
    <row r="262" spans="1:21" x14ac:dyDescent="0.15">
      <c r="A262" s="44" t="s">
        <v>110</v>
      </c>
      <c r="C262" s="44" t="s">
        <v>111</v>
      </c>
      <c r="D262" t="str">
        <f>VLOOKUP(Q262,PROVINCIAS!B$3:$D$70,2,0)</f>
        <v>29</v>
      </c>
      <c r="E262" s="20" t="s">
        <v>108</v>
      </c>
      <c r="F262">
        <f t="shared" si="12"/>
        <v>80</v>
      </c>
      <c r="G262" s="44">
        <v>50</v>
      </c>
      <c r="I262" s="29">
        <f>VLOOKUP(Q262,PROVINCIAS!B$2:$D$70,3,FALSE)</f>
        <v>1</v>
      </c>
      <c r="K262" s="20" t="str">
        <f t="shared" si="13"/>
        <v>F</v>
      </c>
      <c r="Q262" s="44" t="s">
        <v>124</v>
      </c>
      <c r="R262">
        <v>0</v>
      </c>
      <c r="S262">
        <v>0</v>
      </c>
      <c r="U262">
        <f t="shared" si="14"/>
        <v>2</v>
      </c>
    </row>
    <row r="263" spans="1:21" x14ac:dyDescent="0.15">
      <c r="A263" s="44" t="s">
        <v>110</v>
      </c>
      <c r="C263" s="44" t="s">
        <v>111</v>
      </c>
      <c r="D263" t="str">
        <f>VLOOKUP(Q263,PROVINCIAS!B$3:$D$70,2,0)</f>
        <v>28</v>
      </c>
      <c r="E263" s="20" t="s">
        <v>108</v>
      </c>
      <c r="F263">
        <f t="shared" si="12"/>
        <v>80</v>
      </c>
      <c r="G263" s="44">
        <v>100</v>
      </c>
      <c r="I263" s="29">
        <f>VLOOKUP(Q263,PROVINCIAS!B$2:$D$70,3,FALSE)</f>
        <v>12</v>
      </c>
      <c r="K263" s="20" t="str">
        <f t="shared" si="13"/>
        <v>F</v>
      </c>
      <c r="Q263" s="44" t="s">
        <v>112</v>
      </c>
      <c r="R263">
        <v>0</v>
      </c>
      <c r="S263">
        <v>0</v>
      </c>
      <c r="U263">
        <f t="shared" si="14"/>
        <v>2</v>
      </c>
    </row>
    <row r="264" spans="1:21" x14ac:dyDescent="0.15">
      <c r="A264" s="44" t="s">
        <v>110</v>
      </c>
      <c r="C264" s="44" t="s">
        <v>111</v>
      </c>
      <c r="D264" t="str">
        <f>VLOOKUP(Q264,PROVINCIAS!B$3:$D$70,2,0)</f>
        <v>46</v>
      </c>
      <c r="E264" s="20" t="s">
        <v>108</v>
      </c>
      <c r="F264">
        <f t="shared" si="12"/>
        <v>80</v>
      </c>
      <c r="G264" s="45">
        <v>25</v>
      </c>
      <c r="I264" s="29">
        <f>VLOOKUP(Q264,PROVINCIAS!B$2:$D$70,3,FALSE)</f>
        <v>17</v>
      </c>
      <c r="K264" s="20" t="str">
        <f t="shared" si="13"/>
        <v>F</v>
      </c>
      <c r="Q264" s="45" t="s">
        <v>120</v>
      </c>
      <c r="R264">
        <v>0</v>
      </c>
      <c r="S264">
        <v>0</v>
      </c>
      <c r="U264">
        <f t="shared" si="14"/>
        <v>2</v>
      </c>
    </row>
    <row r="265" spans="1:21" x14ac:dyDescent="0.15">
      <c r="A265" s="44" t="s">
        <v>110</v>
      </c>
      <c r="C265" s="44" t="s">
        <v>111</v>
      </c>
      <c r="D265" t="str">
        <f>VLOOKUP(Q265,PROVINCIAS!B$3:$D$70,2,0)</f>
        <v>20</v>
      </c>
      <c r="E265" s="20" t="s">
        <v>108</v>
      </c>
      <c r="F265">
        <f t="shared" si="12"/>
        <v>80</v>
      </c>
      <c r="G265" s="44">
        <v>50</v>
      </c>
      <c r="I265" s="29">
        <f>VLOOKUP(Q265,PROVINCIAS!B$2:$D$70,3,FALSE)</f>
        <v>0</v>
      </c>
      <c r="K265" s="20" t="str">
        <f t="shared" si="13"/>
        <v>F</v>
      </c>
      <c r="Q265" s="44" t="s">
        <v>116</v>
      </c>
      <c r="R265">
        <v>0</v>
      </c>
      <c r="S265">
        <v>0</v>
      </c>
      <c r="U265">
        <f t="shared" si="14"/>
        <v>2</v>
      </c>
    </row>
    <row r="266" spans="1:21" x14ac:dyDescent="0.15">
      <c r="A266" s="44" t="s">
        <v>110</v>
      </c>
      <c r="C266" s="44" t="s">
        <v>111</v>
      </c>
      <c r="D266" t="str">
        <f>VLOOKUP(Q266,PROVINCIAS!B$3:$D$70,2,0)</f>
        <v>36</v>
      </c>
      <c r="E266" s="20" t="s">
        <v>108</v>
      </c>
      <c r="F266">
        <f t="shared" si="12"/>
        <v>80</v>
      </c>
      <c r="G266" s="44">
        <v>100</v>
      </c>
      <c r="I266" s="29">
        <f>VLOOKUP(Q266,PROVINCIAS!B$2:$D$70,3,FALSE)</f>
        <v>11</v>
      </c>
      <c r="K266" s="20" t="str">
        <f t="shared" si="13"/>
        <v>F</v>
      </c>
      <c r="Q266" s="44" t="s">
        <v>154</v>
      </c>
      <c r="R266">
        <v>0</v>
      </c>
      <c r="S266">
        <v>0</v>
      </c>
      <c r="U266">
        <f t="shared" si="14"/>
        <v>2</v>
      </c>
    </row>
    <row r="267" spans="1:21" x14ac:dyDescent="0.15">
      <c r="A267" s="44" t="s">
        <v>110</v>
      </c>
      <c r="C267" s="44" t="s">
        <v>111</v>
      </c>
      <c r="D267" t="str">
        <f>VLOOKUP(Q267,PROVINCIAS!B$3:$D$70,2,0)</f>
        <v>28</v>
      </c>
      <c r="E267" s="20" t="s">
        <v>108</v>
      </c>
      <c r="F267">
        <f t="shared" si="12"/>
        <v>80</v>
      </c>
      <c r="G267" s="44">
        <v>60</v>
      </c>
      <c r="I267" s="29">
        <f>VLOOKUP(Q267,PROVINCIAS!B$2:$D$70,3,FALSE)</f>
        <v>12</v>
      </c>
      <c r="K267" s="20" t="str">
        <f t="shared" si="13"/>
        <v>F</v>
      </c>
      <c r="Q267" s="44" t="s">
        <v>112</v>
      </c>
      <c r="R267">
        <v>0</v>
      </c>
      <c r="S267">
        <v>0</v>
      </c>
      <c r="U267">
        <f t="shared" si="14"/>
        <v>2</v>
      </c>
    </row>
    <row r="268" spans="1:21" x14ac:dyDescent="0.15">
      <c r="A268" s="44" t="s">
        <v>110</v>
      </c>
      <c r="C268" s="44" t="s">
        <v>111</v>
      </c>
      <c r="D268" t="str">
        <f>VLOOKUP(Q268,PROVINCIAS!B$3:$D$70,2,0)</f>
        <v>28</v>
      </c>
      <c r="E268" s="20" t="s">
        <v>108</v>
      </c>
      <c r="F268">
        <f t="shared" si="12"/>
        <v>80</v>
      </c>
      <c r="G268" s="44">
        <v>30</v>
      </c>
      <c r="I268" s="29">
        <f>VLOOKUP(Q268,PROVINCIAS!B$2:$D$70,3,FALSE)</f>
        <v>12</v>
      </c>
      <c r="K268" s="20" t="str">
        <f t="shared" si="13"/>
        <v>F</v>
      </c>
      <c r="Q268" s="44" t="s">
        <v>112</v>
      </c>
      <c r="R268">
        <v>0</v>
      </c>
      <c r="S268">
        <v>0</v>
      </c>
      <c r="U268">
        <f t="shared" si="14"/>
        <v>2</v>
      </c>
    </row>
    <row r="269" spans="1:21" x14ac:dyDescent="0.15">
      <c r="A269" s="44" t="s">
        <v>110</v>
      </c>
      <c r="C269" s="44" t="s">
        <v>111</v>
      </c>
      <c r="D269">
        <f>VLOOKUP(Q269,PROVINCIAS!B$3:$D$70,2,0)</f>
        <v>25</v>
      </c>
      <c r="E269" s="20" t="s">
        <v>108</v>
      </c>
      <c r="F269">
        <f t="shared" si="12"/>
        <v>80</v>
      </c>
      <c r="G269" s="45">
        <v>50</v>
      </c>
      <c r="I269" s="29">
        <f>VLOOKUP(Q269,PROVINCIAS!B$2:$D$70,3,FALSE)</f>
        <v>9</v>
      </c>
      <c r="K269" s="20" t="str">
        <f t="shared" si="13"/>
        <v>F</v>
      </c>
      <c r="Q269" s="45" t="s">
        <v>157</v>
      </c>
      <c r="R269">
        <v>0</v>
      </c>
      <c r="S269">
        <v>0</v>
      </c>
      <c r="U269">
        <f t="shared" si="14"/>
        <v>2</v>
      </c>
    </row>
    <row r="270" spans="1:21" x14ac:dyDescent="0.15">
      <c r="A270" s="44" t="s">
        <v>110</v>
      </c>
      <c r="C270" s="44" t="s">
        <v>111</v>
      </c>
      <c r="D270" t="str">
        <f>VLOOKUP(Q270,PROVINCIAS!B$3:$D$70,2,0)</f>
        <v>50</v>
      </c>
      <c r="E270" s="20" t="s">
        <v>108</v>
      </c>
      <c r="F270">
        <f t="shared" si="12"/>
        <v>80</v>
      </c>
      <c r="G270" s="44">
        <v>25</v>
      </c>
      <c r="I270" s="29">
        <f>VLOOKUP(Q270,PROVINCIAS!B$2:$D$70,3,FALSE)</f>
        <v>2</v>
      </c>
      <c r="K270" s="20" t="str">
        <f t="shared" si="13"/>
        <v>F</v>
      </c>
      <c r="Q270" s="44" t="s">
        <v>109</v>
      </c>
      <c r="R270">
        <v>0</v>
      </c>
      <c r="S270">
        <v>0</v>
      </c>
      <c r="U270">
        <f t="shared" si="14"/>
        <v>2</v>
      </c>
    </row>
    <row r="271" spans="1:21" x14ac:dyDescent="0.15">
      <c r="A271" s="44" t="s">
        <v>110</v>
      </c>
      <c r="C271" s="44" t="s">
        <v>111</v>
      </c>
      <c r="D271" t="str">
        <f>VLOOKUP(Q271,PROVINCIAS!B$3:$D$70,2,0)</f>
        <v>49</v>
      </c>
      <c r="E271" s="20" t="s">
        <v>108</v>
      </c>
      <c r="F271">
        <f t="shared" si="12"/>
        <v>80</v>
      </c>
      <c r="G271" s="44">
        <v>100</v>
      </c>
      <c r="I271" s="29">
        <f>VLOOKUP(Q271,PROVINCIAS!B$2:$D$70,3,FALSE)</f>
        <v>8</v>
      </c>
      <c r="K271" s="20" t="str">
        <f t="shared" si="13"/>
        <v>F</v>
      </c>
      <c r="Q271" s="44" t="s">
        <v>158</v>
      </c>
      <c r="R271">
        <v>0</v>
      </c>
      <c r="S271">
        <v>0</v>
      </c>
      <c r="U271">
        <f t="shared" si="14"/>
        <v>2</v>
      </c>
    </row>
    <row r="272" spans="1:21" x14ac:dyDescent="0.15">
      <c r="A272" s="44" t="s">
        <v>110</v>
      </c>
      <c r="C272" s="44" t="s">
        <v>111</v>
      </c>
      <c r="D272" t="str">
        <f>VLOOKUP(Q272,PROVINCIAS!B$3:$D$70,2,0)</f>
        <v>28</v>
      </c>
      <c r="E272" s="20" t="s">
        <v>108</v>
      </c>
      <c r="F272">
        <f t="shared" si="12"/>
        <v>80</v>
      </c>
      <c r="G272" s="45">
        <v>25</v>
      </c>
      <c r="I272" s="29">
        <f>VLOOKUP(Q272,PROVINCIAS!B$2:$D$70,3,FALSE)</f>
        <v>12</v>
      </c>
      <c r="K272" s="20" t="str">
        <f t="shared" si="13"/>
        <v>F</v>
      </c>
      <c r="Q272" s="45" t="s">
        <v>112</v>
      </c>
      <c r="R272">
        <v>0</v>
      </c>
      <c r="S272">
        <v>0</v>
      </c>
      <c r="U272">
        <f t="shared" si="14"/>
        <v>2</v>
      </c>
    </row>
    <row r="273" spans="1:21" x14ac:dyDescent="0.15">
      <c r="A273" s="44" t="s">
        <v>110</v>
      </c>
      <c r="C273" s="44" t="s">
        <v>111</v>
      </c>
      <c r="D273" t="str">
        <f>VLOOKUP(Q273,PROVINCIAS!B$3:$D$70,2,0)</f>
        <v>28</v>
      </c>
      <c r="E273" s="20" t="s">
        <v>108</v>
      </c>
      <c r="F273">
        <f t="shared" si="12"/>
        <v>80</v>
      </c>
      <c r="G273" s="45">
        <v>30</v>
      </c>
      <c r="I273" s="29">
        <f>VLOOKUP(Q273,PROVINCIAS!B$2:$D$70,3,FALSE)</f>
        <v>12</v>
      </c>
      <c r="K273" s="20" t="str">
        <f t="shared" si="13"/>
        <v>F</v>
      </c>
      <c r="Q273" s="45" t="s">
        <v>112</v>
      </c>
      <c r="R273">
        <v>0</v>
      </c>
      <c r="S273">
        <v>0</v>
      </c>
      <c r="U273">
        <f t="shared" si="14"/>
        <v>2</v>
      </c>
    </row>
    <row r="274" spans="1:21" x14ac:dyDescent="0.15">
      <c r="A274" s="44" t="s">
        <v>110</v>
      </c>
      <c r="C274" s="44" t="s">
        <v>111</v>
      </c>
      <c r="D274" t="str">
        <f>VLOOKUP(Q274,PROVINCIAS!B$3:$D$70,2,0)</f>
        <v>08</v>
      </c>
      <c r="E274" s="20" t="s">
        <v>108</v>
      </c>
      <c r="F274">
        <f t="shared" si="12"/>
        <v>80</v>
      </c>
      <c r="G274" s="45">
        <v>25</v>
      </c>
      <c r="I274" s="29">
        <f>VLOOKUP(Q274,PROVINCIAS!B$2:$D$70,3,FALSE)</f>
        <v>9</v>
      </c>
      <c r="K274" s="20" t="str">
        <f t="shared" si="13"/>
        <v>F</v>
      </c>
      <c r="Q274" s="45" t="s">
        <v>128</v>
      </c>
      <c r="R274">
        <v>0</v>
      </c>
      <c r="S274">
        <v>0</v>
      </c>
      <c r="U274">
        <f t="shared" si="14"/>
        <v>2</v>
      </c>
    </row>
    <row r="275" spans="1:21" x14ac:dyDescent="0.15">
      <c r="A275" s="44" t="s">
        <v>110</v>
      </c>
      <c r="C275" s="44" t="s">
        <v>111</v>
      </c>
      <c r="D275" t="str">
        <f>VLOOKUP(Q275,PROVINCIAS!B$3:$D$70,2,0)</f>
        <v>46</v>
      </c>
      <c r="E275" s="20" t="s">
        <v>108</v>
      </c>
      <c r="F275">
        <f t="shared" si="12"/>
        <v>80</v>
      </c>
      <c r="G275" s="44">
        <v>25</v>
      </c>
      <c r="I275" s="29">
        <f>VLOOKUP(Q275,PROVINCIAS!B$2:$D$70,3,FALSE)</f>
        <v>17</v>
      </c>
      <c r="K275" s="20" t="str">
        <f t="shared" si="13"/>
        <v>F</v>
      </c>
      <c r="Q275" s="44" t="s">
        <v>120</v>
      </c>
      <c r="R275">
        <v>0</v>
      </c>
      <c r="S275">
        <v>0</v>
      </c>
      <c r="U275">
        <f t="shared" si="14"/>
        <v>2</v>
      </c>
    </row>
    <row r="276" spans="1:21" x14ac:dyDescent="0.15">
      <c r="A276" s="44" t="s">
        <v>110</v>
      </c>
      <c r="C276" s="44" t="s">
        <v>111</v>
      </c>
      <c r="D276" t="str">
        <f>VLOOKUP(Q276,PROVINCIAS!B$3:$D$70,2,0)</f>
        <v>28</v>
      </c>
      <c r="E276" s="20" t="s">
        <v>108</v>
      </c>
      <c r="F276">
        <f t="shared" si="12"/>
        <v>80</v>
      </c>
      <c r="G276" s="44">
        <v>30</v>
      </c>
      <c r="I276" s="29">
        <f>VLOOKUP(Q276,PROVINCIAS!B$2:$D$70,3,FALSE)</f>
        <v>12</v>
      </c>
      <c r="K276" s="20" t="str">
        <f t="shared" si="13"/>
        <v>F</v>
      </c>
      <c r="Q276" s="44" t="s">
        <v>112</v>
      </c>
      <c r="R276">
        <v>0</v>
      </c>
      <c r="S276">
        <v>0</v>
      </c>
      <c r="U276">
        <f t="shared" si="14"/>
        <v>2</v>
      </c>
    </row>
    <row r="277" spans="1:21" x14ac:dyDescent="0.15">
      <c r="A277" s="44" t="s">
        <v>110</v>
      </c>
      <c r="C277" s="44" t="s">
        <v>111</v>
      </c>
      <c r="D277" t="str">
        <f>VLOOKUP(Q277,PROVINCIAS!B$3:$D$70,2,0)</f>
        <v>46</v>
      </c>
      <c r="E277" s="20" t="s">
        <v>108</v>
      </c>
      <c r="F277">
        <f t="shared" si="12"/>
        <v>80</v>
      </c>
      <c r="G277" s="44">
        <v>50</v>
      </c>
      <c r="I277" s="29">
        <f>VLOOKUP(Q277,PROVINCIAS!B$2:$D$70,3,FALSE)</f>
        <v>17</v>
      </c>
      <c r="K277" s="20" t="str">
        <f t="shared" si="13"/>
        <v>F</v>
      </c>
      <c r="Q277" s="44" t="s">
        <v>120</v>
      </c>
      <c r="R277">
        <v>0</v>
      </c>
      <c r="S277">
        <v>0</v>
      </c>
      <c r="U277">
        <f t="shared" si="14"/>
        <v>2</v>
      </c>
    </row>
    <row r="278" spans="1:21" x14ac:dyDescent="0.15">
      <c r="A278" s="44" t="s">
        <v>110</v>
      </c>
      <c r="C278" s="44" t="s">
        <v>111</v>
      </c>
      <c r="D278" t="str">
        <f>VLOOKUP(Q278,PROVINCIAS!B$3:$D$70,2,0)</f>
        <v>28</v>
      </c>
      <c r="E278" s="20" t="s">
        <v>108</v>
      </c>
      <c r="F278">
        <f t="shared" si="12"/>
        <v>80</v>
      </c>
      <c r="G278" s="45">
        <v>25</v>
      </c>
      <c r="I278" s="29">
        <f>VLOOKUP(Q278,PROVINCIAS!B$2:$D$70,3,FALSE)</f>
        <v>12</v>
      </c>
      <c r="K278" s="20" t="str">
        <f t="shared" si="13"/>
        <v>F</v>
      </c>
      <c r="Q278" s="45" t="s">
        <v>112</v>
      </c>
      <c r="R278">
        <v>0</v>
      </c>
      <c r="S278">
        <v>0</v>
      </c>
      <c r="U278">
        <f t="shared" si="14"/>
        <v>2</v>
      </c>
    </row>
    <row r="279" spans="1:21" x14ac:dyDescent="0.15">
      <c r="A279" s="44" t="s">
        <v>110</v>
      </c>
      <c r="C279" s="44" t="s">
        <v>111</v>
      </c>
      <c r="D279" t="str">
        <f>VLOOKUP(Q279,PROVINCIAS!B$3:$D$70,2,0)</f>
        <v>28</v>
      </c>
      <c r="E279" s="20" t="s">
        <v>108</v>
      </c>
      <c r="F279">
        <f t="shared" si="12"/>
        <v>80</v>
      </c>
      <c r="G279" s="44">
        <v>25</v>
      </c>
      <c r="I279" s="29">
        <f>VLOOKUP(Q279,PROVINCIAS!B$2:$D$70,3,FALSE)</f>
        <v>12</v>
      </c>
      <c r="K279" s="20" t="str">
        <f t="shared" si="13"/>
        <v>F</v>
      </c>
      <c r="Q279" s="44" t="s">
        <v>112</v>
      </c>
      <c r="R279">
        <v>0</v>
      </c>
      <c r="S279">
        <v>0</v>
      </c>
      <c r="U279">
        <f t="shared" si="14"/>
        <v>2</v>
      </c>
    </row>
    <row r="280" spans="1:21" x14ac:dyDescent="0.15">
      <c r="A280" s="44" t="s">
        <v>110</v>
      </c>
      <c r="C280" s="44" t="s">
        <v>111</v>
      </c>
      <c r="D280" t="str">
        <f>VLOOKUP(Q280,PROVINCIAS!B$3:$D$70,2,0)</f>
        <v>33</v>
      </c>
      <c r="E280" s="20" t="s">
        <v>108</v>
      </c>
      <c r="F280">
        <f t="shared" si="12"/>
        <v>80</v>
      </c>
      <c r="G280" s="44">
        <v>25</v>
      </c>
      <c r="I280" s="29">
        <f>VLOOKUP(Q280,PROVINCIAS!B$2:$D$70,3,FALSE)</f>
        <v>3</v>
      </c>
      <c r="K280" s="20" t="str">
        <f t="shared" si="13"/>
        <v>F</v>
      </c>
      <c r="Q280" s="44" t="s">
        <v>117</v>
      </c>
      <c r="R280">
        <v>0</v>
      </c>
      <c r="S280">
        <v>0</v>
      </c>
      <c r="U280">
        <f t="shared" si="14"/>
        <v>2</v>
      </c>
    </row>
    <row r="281" spans="1:21" x14ac:dyDescent="0.15">
      <c r="A281" s="44" t="s">
        <v>110</v>
      </c>
      <c r="C281" s="44" t="s">
        <v>111</v>
      </c>
      <c r="D281" t="str">
        <f>VLOOKUP(Q281,PROVINCIAS!B$3:$D$70,2,0)</f>
        <v>33</v>
      </c>
      <c r="E281" s="20" t="s">
        <v>108</v>
      </c>
      <c r="F281">
        <f t="shared" si="12"/>
        <v>80</v>
      </c>
      <c r="G281" s="45">
        <v>50</v>
      </c>
      <c r="I281" s="29">
        <f>VLOOKUP(Q281,PROVINCIAS!B$2:$D$70,3,FALSE)</f>
        <v>3</v>
      </c>
      <c r="K281" s="20" t="str">
        <f t="shared" si="13"/>
        <v>F</v>
      </c>
      <c r="Q281" s="45" t="s">
        <v>117</v>
      </c>
      <c r="R281">
        <v>0</v>
      </c>
      <c r="S281">
        <v>0</v>
      </c>
      <c r="U281">
        <f t="shared" si="14"/>
        <v>2</v>
      </c>
    </row>
    <row r="282" spans="1:21" x14ac:dyDescent="0.15">
      <c r="A282" s="44" t="s">
        <v>110</v>
      </c>
      <c r="C282" s="44" t="s">
        <v>111</v>
      </c>
      <c r="D282" t="str">
        <f>VLOOKUP(Q282,PROVINCIAS!B$3:$D$70,2,0)</f>
        <v>46</v>
      </c>
      <c r="E282" s="20" t="s">
        <v>108</v>
      </c>
      <c r="F282">
        <f t="shared" si="12"/>
        <v>80</v>
      </c>
      <c r="G282" s="44">
        <v>40</v>
      </c>
      <c r="I282" s="29">
        <f>VLOOKUP(Q282,PROVINCIAS!B$2:$D$70,3,FALSE)</f>
        <v>17</v>
      </c>
      <c r="K282" s="20" t="str">
        <f t="shared" si="13"/>
        <v>F</v>
      </c>
      <c r="Q282" s="44" t="s">
        <v>120</v>
      </c>
      <c r="R282">
        <v>0</v>
      </c>
      <c r="S282">
        <v>0</v>
      </c>
      <c r="U282">
        <f t="shared" si="14"/>
        <v>2</v>
      </c>
    </row>
    <row r="283" spans="1:21" x14ac:dyDescent="0.15">
      <c r="A283" s="44" t="s">
        <v>110</v>
      </c>
      <c r="C283" s="44" t="s">
        <v>111</v>
      </c>
      <c r="D283" t="str">
        <f>VLOOKUP(Q283,PROVINCIAS!B$3:$D$70,2,0)</f>
        <v>33</v>
      </c>
      <c r="E283" s="20" t="s">
        <v>108</v>
      </c>
      <c r="F283">
        <f t="shared" si="12"/>
        <v>80</v>
      </c>
      <c r="G283" s="45">
        <v>30</v>
      </c>
      <c r="I283" s="29">
        <f>VLOOKUP(Q283,PROVINCIAS!B$2:$D$70,3,FALSE)</f>
        <v>3</v>
      </c>
      <c r="K283" s="20" t="str">
        <f t="shared" si="13"/>
        <v>F</v>
      </c>
      <c r="Q283" s="45" t="s">
        <v>117</v>
      </c>
      <c r="R283">
        <v>0</v>
      </c>
      <c r="S283">
        <v>0</v>
      </c>
      <c r="U283">
        <f t="shared" si="14"/>
        <v>2</v>
      </c>
    </row>
    <row r="284" spans="1:21" x14ac:dyDescent="0.15">
      <c r="A284" s="44" t="s">
        <v>110</v>
      </c>
      <c r="C284" s="44" t="s">
        <v>111</v>
      </c>
      <c r="D284">
        <f>VLOOKUP(Q284,PROVINCIAS!B$3:$D$70,2,0)</f>
        <v>7</v>
      </c>
      <c r="E284" s="20" t="s">
        <v>108</v>
      </c>
      <c r="F284">
        <f t="shared" si="12"/>
        <v>80</v>
      </c>
      <c r="G284" s="45">
        <v>60</v>
      </c>
      <c r="I284" s="29">
        <f>VLOOKUP(Q284,PROVINCIAS!B$2:$D$70,3,FALSE)</f>
        <v>4</v>
      </c>
      <c r="K284" s="20" t="str">
        <f t="shared" si="13"/>
        <v>F</v>
      </c>
      <c r="Q284" s="45" t="s">
        <v>159</v>
      </c>
      <c r="R284">
        <v>0</v>
      </c>
      <c r="S284">
        <v>0</v>
      </c>
      <c r="U284">
        <f t="shared" si="14"/>
        <v>2</v>
      </c>
    </row>
    <row r="285" spans="1:21" x14ac:dyDescent="0.15">
      <c r="A285" s="44" t="s">
        <v>110</v>
      </c>
      <c r="C285" s="44" t="s">
        <v>111</v>
      </c>
      <c r="D285" t="str">
        <f>VLOOKUP(Q285,PROVINCIAS!B$3:$D$70,2,0)</f>
        <v>28</v>
      </c>
      <c r="E285" s="20" t="s">
        <v>108</v>
      </c>
      <c r="F285">
        <f t="shared" si="12"/>
        <v>80</v>
      </c>
      <c r="G285" s="44">
        <v>108</v>
      </c>
      <c r="I285" s="29">
        <f>VLOOKUP(Q285,PROVINCIAS!B$2:$D$70,3,FALSE)</f>
        <v>12</v>
      </c>
      <c r="K285" s="20" t="str">
        <f t="shared" si="13"/>
        <v>F</v>
      </c>
      <c r="Q285" s="44" t="s">
        <v>112</v>
      </c>
      <c r="R285">
        <v>0</v>
      </c>
      <c r="S285">
        <v>0</v>
      </c>
      <c r="U285">
        <f t="shared" si="14"/>
        <v>2</v>
      </c>
    </row>
    <row r="286" spans="1:21" x14ac:dyDescent="0.15">
      <c r="A286" s="44" t="s">
        <v>110</v>
      </c>
      <c r="C286" s="44" t="s">
        <v>111</v>
      </c>
      <c r="D286" t="str">
        <f>VLOOKUP(Q286,PROVINCIAS!B$3:$D$70,2,0)</f>
        <v>19</v>
      </c>
      <c r="E286" s="20" t="s">
        <v>108</v>
      </c>
      <c r="F286">
        <f t="shared" si="12"/>
        <v>80</v>
      </c>
      <c r="G286" s="44">
        <v>30</v>
      </c>
      <c r="I286" s="29">
        <f>VLOOKUP(Q286,PROVINCIAS!B$2:$D$70,3,FALSE)</f>
        <v>7</v>
      </c>
      <c r="K286" s="20" t="str">
        <f t="shared" si="13"/>
        <v>F</v>
      </c>
      <c r="Q286" s="44" t="s">
        <v>122</v>
      </c>
      <c r="R286">
        <v>0</v>
      </c>
      <c r="S286">
        <v>0</v>
      </c>
      <c r="U286">
        <f t="shared" si="14"/>
        <v>2</v>
      </c>
    </row>
    <row r="287" spans="1:21" x14ac:dyDescent="0.15">
      <c r="A287" s="44" t="s">
        <v>110</v>
      </c>
      <c r="C287" s="44" t="s">
        <v>111</v>
      </c>
      <c r="D287" t="str">
        <f>VLOOKUP(Q287,PROVINCIAS!B$3:$D$70,2,0)</f>
        <v>33</v>
      </c>
      <c r="E287" s="20" t="s">
        <v>108</v>
      </c>
      <c r="F287">
        <f t="shared" si="12"/>
        <v>80</v>
      </c>
      <c r="G287" s="44">
        <v>25</v>
      </c>
      <c r="I287" s="29">
        <f>VLOOKUP(Q287,PROVINCIAS!B$2:$D$70,3,FALSE)</f>
        <v>3</v>
      </c>
      <c r="K287" s="20" t="str">
        <f t="shared" si="13"/>
        <v>F</v>
      </c>
      <c r="Q287" s="44" t="s">
        <v>117</v>
      </c>
      <c r="R287">
        <v>0</v>
      </c>
      <c r="S287">
        <v>0</v>
      </c>
      <c r="U287">
        <f t="shared" si="14"/>
        <v>2</v>
      </c>
    </row>
    <row r="288" spans="1:21" x14ac:dyDescent="0.15">
      <c r="A288" s="44" t="s">
        <v>110</v>
      </c>
      <c r="C288" s="44" t="s">
        <v>111</v>
      </c>
      <c r="D288" t="str">
        <f>VLOOKUP(Q288,PROVINCIAS!B$3:$D$70,2,0)</f>
        <v>46</v>
      </c>
      <c r="E288" s="20" t="s">
        <v>108</v>
      </c>
      <c r="F288">
        <f t="shared" si="12"/>
        <v>80</v>
      </c>
      <c r="G288" s="44">
        <v>30</v>
      </c>
      <c r="I288" s="29">
        <f>VLOOKUP(Q288,PROVINCIAS!B$2:$D$70,3,FALSE)</f>
        <v>17</v>
      </c>
      <c r="K288" s="20" t="str">
        <f t="shared" si="13"/>
        <v>F</v>
      </c>
      <c r="Q288" s="44" t="s">
        <v>120</v>
      </c>
      <c r="R288">
        <v>0</v>
      </c>
      <c r="S288">
        <v>0</v>
      </c>
      <c r="U288">
        <f t="shared" si="14"/>
        <v>2</v>
      </c>
    </row>
    <row r="289" spans="1:21" x14ac:dyDescent="0.15">
      <c r="A289" s="44" t="s">
        <v>110</v>
      </c>
      <c r="C289" s="44" t="s">
        <v>111</v>
      </c>
      <c r="D289" t="str">
        <f>VLOOKUP(Q289,PROVINCIAS!B$3:$D$70,2,0)</f>
        <v>14</v>
      </c>
      <c r="E289" s="20" t="s">
        <v>108</v>
      </c>
      <c r="F289">
        <f t="shared" si="12"/>
        <v>80</v>
      </c>
      <c r="G289" s="45">
        <v>25</v>
      </c>
      <c r="I289" s="29">
        <f>VLOOKUP(Q289,PROVINCIAS!B$2:$D$70,3,FALSE)</f>
        <v>1</v>
      </c>
      <c r="K289" s="20" t="str">
        <f t="shared" si="13"/>
        <v>F</v>
      </c>
      <c r="Q289" s="45" t="s">
        <v>137</v>
      </c>
      <c r="R289">
        <v>0</v>
      </c>
      <c r="S289">
        <v>0</v>
      </c>
      <c r="U289">
        <f t="shared" si="14"/>
        <v>2</v>
      </c>
    </row>
    <row r="290" spans="1:21" x14ac:dyDescent="0.15">
      <c r="A290" s="44" t="s">
        <v>110</v>
      </c>
      <c r="C290" s="44" t="s">
        <v>111</v>
      </c>
      <c r="D290" t="str">
        <f>VLOOKUP(Q290,PROVINCIAS!B$3:$D$70,2,0)</f>
        <v>03</v>
      </c>
      <c r="E290" s="20" t="s">
        <v>108</v>
      </c>
      <c r="F290">
        <f t="shared" si="12"/>
        <v>80</v>
      </c>
      <c r="G290" s="44">
        <v>25</v>
      </c>
      <c r="I290" s="29">
        <f>VLOOKUP(Q290,PROVINCIAS!B$2:$D$70,3,FALSE)</f>
        <v>17</v>
      </c>
      <c r="K290" s="20" t="str">
        <f t="shared" si="13"/>
        <v>F</v>
      </c>
      <c r="Q290" s="44" t="s">
        <v>118</v>
      </c>
      <c r="R290">
        <v>0</v>
      </c>
      <c r="S290">
        <v>0</v>
      </c>
      <c r="U290">
        <f t="shared" si="14"/>
        <v>2</v>
      </c>
    </row>
    <row r="291" spans="1:21" x14ac:dyDescent="0.15">
      <c r="A291" s="44" t="s">
        <v>110</v>
      </c>
      <c r="C291" s="44" t="s">
        <v>111</v>
      </c>
      <c r="D291" t="str">
        <f>VLOOKUP(Q291,PROVINCIAS!B$3:$D$70,2,0)</f>
        <v>33</v>
      </c>
      <c r="E291" s="20" t="s">
        <v>108</v>
      </c>
      <c r="F291">
        <f t="shared" si="12"/>
        <v>80</v>
      </c>
      <c r="G291" s="44">
        <v>25</v>
      </c>
      <c r="I291" s="29">
        <f>VLOOKUP(Q291,PROVINCIAS!B$2:$D$70,3,FALSE)</f>
        <v>3</v>
      </c>
      <c r="K291" s="20" t="str">
        <f t="shared" si="13"/>
        <v>F</v>
      </c>
      <c r="Q291" s="44" t="s">
        <v>117</v>
      </c>
      <c r="R291">
        <v>0</v>
      </c>
      <c r="S291">
        <v>0</v>
      </c>
      <c r="U291">
        <f t="shared" si="14"/>
        <v>2</v>
      </c>
    </row>
    <row r="292" spans="1:21" x14ac:dyDescent="0.15">
      <c r="A292" s="44" t="s">
        <v>110</v>
      </c>
      <c r="C292" s="44" t="s">
        <v>111</v>
      </c>
      <c r="D292" t="str">
        <f>VLOOKUP(Q292,PROVINCIAS!B$3:$D$70,2,0)</f>
        <v>05</v>
      </c>
      <c r="E292" s="20" t="s">
        <v>108</v>
      </c>
      <c r="F292">
        <f t="shared" si="12"/>
        <v>80</v>
      </c>
      <c r="G292" s="44">
        <v>30</v>
      </c>
      <c r="I292" s="29">
        <f>VLOOKUP(Q292,PROVINCIAS!B$2:$D$70,3,FALSE)</f>
        <v>8</v>
      </c>
      <c r="K292" s="20" t="str">
        <f t="shared" si="13"/>
        <v>F</v>
      </c>
      <c r="Q292" s="44" t="s">
        <v>160</v>
      </c>
      <c r="R292">
        <v>0</v>
      </c>
      <c r="S292">
        <v>0</v>
      </c>
      <c r="U292">
        <f t="shared" si="14"/>
        <v>2</v>
      </c>
    </row>
    <row r="293" spans="1:21" x14ac:dyDescent="0.15">
      <c r="A293" s="44" t="s">
        <v>110</v>
      </c>
      <c r="C293" s="44" t="s">
        <v>111</v>
      </c>
      <c r="D293" t="str">
        <f>VLOOKUP(Q293,PROVINCIAS!B$3:$D$70,2,0)</f>
        <v>28</v>
      </c>
      <c r="E293" s="20" t="s">
        <v>108</v>
      </c>
      <c r="F293">
        <f t="shared" si="12"/>
        <v>80</v>
      </c>
      <c r="G293" s="44">
        <v>50</v>
      </c>
      <c r="I293" s="29">
        <f>VLOOKUP(Q293,PROVINCIAS!B$2:$D$70,3,FALSE)</f>
        <v>12</v>
      </c>
      <c r="K293" s="20" t="str">
        <f t="shared" si="13"/>
        <v>F</v>
      </c>
      <c r="Q293" s="44" t="s">
        <v>112</v>
      </c>
      <c r="R293">
        <v>0</v>
      </c>
      <c r="S293">
        <v>0</v>
      </c>
      <c r="U293">
        <f t="shared" si="14"/>
        <v>2</v>
      </c>
    </row>
    <row r="294" spans="1:21" x14ac:dyDescent="0.15">
      <c r="A294" s="44" t="s">
        <v>110</v>
      </c>
      <c r="C294" s="44" t="s">
        <v>111</v>
      </c>
      <c r="D294" t="str">
        <f>VLOOKUP(Q294,PROVINCIAS!B$3:$D$70,2,0)</f>
        <v>33</v>
      </c>
      <c r="E294" s="20" t="s">
        <v>108</v>
      </c>
      <c r="F294">
        <f t="shared" si="12"/>
        <v>80</v>
      </c>
      <c r="G294" s="45">
        <v>25</v>
      </c>
      <c r="I294" s="29">
        <f>VLOOKUP(Q294,PROVINCIAS!B$2:$D$70,3,FALSE)</f>
        <v>3</v>
      </c>
      <c r="K294" s="20" t="str">
        <f t="shared" si="13"/>
        <v>F</v>
      </c>
      <c r="Q294" s="45" t="s">
        <v>117</v>
      </c>
      <c r="R294">
        <v>0</v>
      </c>
      <c r="S294">
        <v>0</v>
      </c>
      <c r="U294">
        <f t="shared" si="14"/>
        <v>2</v>
      </c>
    </row>
    <row r="295" spans="1:21" x14ac:dyDescent="0.15">
      <c r="A295" s="44" t="s">
        <v>110</v>
      </c>
      <c r="C295" s="44" t="s">
        <v>111</v>
      </c>
      <c r="D295" t="str">
        <f>VLOOKUP(Q295,PROVINCIAS!B$3:$D$70,2,0)</f>
        <v>39</v>
      </c>
      <c r="E295" s="20" t="s">
        <v>108</v>
      </c>
      <c r="F295">
        <f t="shared" si="12"/>
        <v>80</v>
      </c>
      <c r="G295" s="44">
        <v>25</v>
      </c>
      <c r="I295" s="29">
        <f>VLOOKUP(Q295,PROVINCIAS!B$2:$D$70,3,FALSE)</f>
        <v>6</v>
      </c>
      <c r="K295" s="20" t="str">
        <f t="shared" si="13"/>
        <v>F</v>
      </c>
      <c r="Q295" s="44" t="s">
        <v>138</v>
      </c>
      <c r="R295">
        <v>0</v>
      </c>
      <c r="S295">
        <v>0</v>
      </c>
      <c r="U295">
        <f t="shared" si="14"/>
        <v>2</v>
      </c>
    </row>
    <row r="296" spans="1:21" x14ac:dyDescent="0.15">
      <c r="A296" s="44" t="s">
        <v>110</v>
      </c>
      <c r="C296" s="44" t="s">
        <v>111</v>
      </c>
      <c r="D296" t="str">
        <f>VLOOKUP(Q296,PROVINCIAS!B$3:$D$70,2,0)</f>
        <v>34</v>
      </c>
      <c r="E296" s="20" t="s">
        <v>108</v>
      </c>
      <c r="F296">
        <f t="shared" si="12"/>
        <v>80</v>
      </c>
      <c r="G296" s="45">
        <v>50</v>
      </c>
      <c r="I296" s="29">
        <f>VLOOKUP(Q296,PROVINCIAS!B$2:$D$70,3,FALSE)</f>
        <v>8</v>
      </c>
      <c r="K296" s="20" t="str">
        <f t="shared" si="13"/>
        <v>F</v>
      </c>
      <c r="Q296" s="45" t="s">
        <v>123</v>
      </c>
      <c r="R296">
        <v>0</v>
      </c>
      <c r="S296">
        <v>0</v>
      </c>
      <c r="U296">
        <f t="shared" si="14"/>
        <v>2</v>
      </c>
    </row>
    <row r="297" spans="1:21" x14ac:dyDescent="0.15">
      <c r="A297" s="44" t="s">
        <v>110</v>
      </c>
      <c r="C297" s="44" t="s">
        <v>111</v>
      </c>
      <c r="D297" t="str">
        <f>VLOOKUP(Q297,PROVINCIAS!B$3:$D$70,2,0)</f>
        <v>28</v>
      </c>
      <c r="E297" s="20" t="s">
        <v>108</v>
      </c>
      <c r="F297">
        <f t="shared" si="12"/>
        <v>80</v>
      </c>
      <c r="G297" s="45">
        <v>50</v>
      </c>
      <c r="I297" s="29">
        <f>VLOOKUP(Q297,PROVINCIAS!B$2:$D$70,3,FALSE)</f>
        <v>12</v>
      </c>
      <c r="K297" s="20" t="str">
        <f t="shared" si="13"/>
        <v>F</v>
      </c>
      <c r="Q297" s="45" t="s">
        <v>112</v>
      </c>
      <c r="R297">
        <v>0</v>
      </c>
      <c r="S297">
        <v>0</v>
      </c>
      <c r="U297">
        <f t="shared" si="14"/>
        <v>2</v>
      </c>
    </row>
    <row r="298" spans="1:21" x14ac:dyDescent="0.15">
      <c r="A298" s="44" t="s">
        <v>110</v>
      </c>
      <c r="C298" s="44" t="s">
        <v>111</v>
      </c>
      <c r="D298" t="str">
        <f>VLOOKUP(Q298,PROVINCIAS!B$3:$D$70,2,0)</f>
        <v>26</v>
      </c>
      <c r="E298" s="20" t="s">
        <v>108</v>
      </c>
      <c r="F298">
        <f t="shared" si="12"/>
        <v>80</v>
      </c>
      <c r="G298" s="44">
        <v>25</v>
      </c>
      <c r="I298" s="29">
        <f>VLOOKUP(Q298,PROVINCIAS!B$2:$D$70,3,FALSE)</f>
        <v>16</v>
      </c>
      <c r="K298" s="20" t="str">
        <f t="shared" si="13"/>
        <v>F</v>
      </c>
      <c r="Q298" s="44" t="s">
        <v>153</v>
      </c>
      <c r="R298">
        <v>0</v>
      </c>
      <c r="S298">
        <v>0</v>
      </c>
      <c r="U298">
        <f t="shared" si="14"/>
        <v>2</v>
      </c>
    </row>
    <row r="299" spans="1:21" x14ac:dyDescent="0.15">
      <c r="A299" s="44" t="s">
        <v>110</v>
      </c>
      <c r="C299" s="44" t="s">
        <v>111</v>
      </c>
      <c r="D299" t="str">
        <f>VLOOKUP(Q299,PROVINCIAS!B$3:$D$70,2,0)</f>
        <v>22</v>
      </c>
      <c r="E299" s="20" t="s">
        <v>108</v>
      </c>
      <c r="F299">
        <f t="shared" si="12"/>
        <v>80</v>
      </c>
      <c r="G299" s="44">
        <v>35</v>
      </c>
      <c r="I299" s="29">
        <f>VLOOKUP(Q299,PROVINCIAS!B$2:$D$70,3,FALSE)</f>
        <v>2</v>
      </c>
      <c r="K299" s="20" t="str">
        <f t="shared" si="13"/>
        <v>F</v>
      </c>
      <c r="Q299" s="44" t="s">
        <v>136</v>
      </c>
      <c r="R299">
        <v>0</v>
      </c>
      <c r="S299">
        <v>0</v>
      </c>
      <c r="U299">
        <f t="shared" si="14"/>
        <v>2</v>
      </c>
    </row>
    <row r="300" spans="1:21" x14ac:dyDescent="0.15">
      <c r="A300" s="44" t="s">
        <v>110</v>
      </c>
      <c r="C300" s="44" t="s">
        <v>111</v>
      </c>
      <c r="D300" t="str">
        <f>VLOOKUP(Q300,PROVINCIAS!B$3:$D$70,2,0)</f>
        <v>28</v>
      </c>
      <c r="E300" s="20" t="s">
        <v>108</v>
      </c>
      <c r="F300">
        <f t="shared" si="12"/>
        <v>80</v>
      </c>
      <c r="G300" s="45">
        <v>50</v>
      </c>
      <c r="I300" s="29">
        <f>VLOOKUP(Q300,PROVINCIAS!B$2:$D$70,3,FALSE)</f>
        <v>12</v>
      </c>
      <c r="K300" s="20" t="str">
        <f t="shared" si="13"/>
        <v>F</v>
      </c>
      <c r="Q300" s="45" t="s">
        <v>112</v>
      </c>
      <c r="R300">
        <v>0</v>
      </c>
      <c r="S300">
        <v>0</v>
      </c>
      <c r="U300">
        <f t="shared" si="14"/>
        <v>2</v>
      </c>
    </row>
    <row r="301" spans="1:21" x14ac:dyDescent="0.15">
      <c r="A301" s="44" t="s">
        <v>110</v>
      </c>
      <c r="C301" s="44" t="s">
        <v>111</v>
      </c>
      <c r="D301" t="str">
        <f>VLOOKUP(Q301,PROVINCIAS!B$3:$D$70,2,0)</f>
        <v>33</v>
      </c>
      <c r="E301" s="20" t="s">
        <v>108</v>
      </c>
      <c r="F301">
        <f t="shared" si="12"/>
        <v>80</v>
      </c>
      <c r="G301" s="44">
        <v>36</v>
      </c>
      <c r="I301" s="29">
        <f>VLOOKUP(Q301,PROVINCIAS!B$2:$D$70,3,FALSE)</f>
        <v>3</v>
      </c>
      <c r="K301" s="20" t="str">
        <f t="shared" si="13"/>
        <v>F</v>
      </c>
      <c r="Q301" s="44" t="s">
        <v>117</v>
      </c>
      <c r="R301">
        <v>0</v>
      </c>
      <c r="S301">
        <v>0</v>
      </c>
      <c r="U301">
        <f t="shared" si="14"/>
        <v>2</v>
      </c>
    </row>
    <row r="302" spans="1:21" x14ac:dyDescent="0.15">
      <c r="A302" s="44" t="s">
        <v>110</v>
      </c>
      <c r="C302" s="44" t="s">
        <v>111</v>
      </c>
      <c r="D302" t="str">
        <f>VLOOKUP(Q302,PROVINCIAS!B$3:$D$70,2,0)</f>
        <v>33</v>
      </c>
      <c r="E302" s="20" t="s">
        <v>108</v>
      </c>
      <c r="F302">
        <f t="shared" si="12"/>
        <v>80</v>
      </c>
      <c r="G302" s="44">
        <v>30</v>
      </c>
      <c r="I302" s="29">
        <f>VLOOKUP(Q302,PROVINCIAS!B$2:$D$70,3,FALSE)</f>
        <v>3</v>
      </c>
      <c r="K302" s="20" t="str">
        <f t="shared" si="13"/>
        <v>F</v>
      </c>
      <c r="Q302" s="44" t="s">
        <v>117</v>
      </c>
      <c r="R302">
        <v>0</v>
      </c>
      <c r="S302">
        <v>0</v>
      </c>
      <c r="U302">
        <f t="shared" si="14"/>
        <v>2</v>
      </c>
    </row>
    <row r="303" spans="1:21" x14ac:dyDescent="0.15">
      <c r="A303" s="44" t="s">
        <v>110</v>
      </c>
      <c r="C303" s="44" t="s">
        <v>111</v>
      </c>
      <c r="D303" t="str">
        <f>VLOOKUP(Q303,PROVINCIAS!B$3:$D$70,2,0)</f>
        <v>33</v>
      </c>
      <c r="E303" s="20" t="s">
        <v>108</v>
      </c>
      <c r="F303">
        <f t="shared" si="12"/>
        <v>80</v>
      </c>
      <c r="G303" s="45">
        <v>25</v>
      </c>
      <c r="I303" s="29">
        <f>VLOOKUP(Q303,PROVINCIAS!B$2:$D$70,3,FALSE)</f>
        <v>3</v>
      </c>
      <c r="K303" s="20" t="str">
        <f t="shared" si="13"/>
        <v>F</v>
      </c>
      <c r="Q303" s="45" t="s">
        <v>117</v>
      </c>
      <c r="R303">
        <v>0</v>
      </c>
      <c r="S303">
        <v>0</v>
      </c>
      <c r="U303">
        <f t="shared" si="14"/>
        <v>2</v>
      </c>
    </row>
    <row r="304" spans="1:21" x14ac:dyDescent="0.15">
      <c r="A304" s="44" t="s">
        <v>110</v>
      </c>
      <c r="C304" s="44" t="s">
        <v>111</v>
      </c>
      <c r="D304" t="str">
        <f>VLOOKUP(Q304,PROVINCIAS!B$3:$D$70,2,0)</f>
        <v>03</v>
      </c>
      <c r="E304" s="20" t="s">
        <v>108</v>
      </c>
      <c r="F304">
        <f t="shared" si="12"/>
        <v>80</v>
      </c>
      <c r="G304" s="44">
        <v>30</v>
      </c>
      <c r="I304" s="29">
        <f>VLOOKUP(Q304,PROVINCIAS!B$2:$D$70,3,FALSE)</f>
        <v>17</v>
      </c>
      <c r="K304" s="20" t="str">
        <f t="shared" si="13"/>
        <v>F</v>
      </c>
      <c r="Q304" s="44" t="s">
        <v>118</v>
      </c>
      <c r="R304">
        <v>0</v>
      </c>
      <c r="S304">
        <v>0</v>
      </c>
      <c r="U304">
        <f t="shared" si="14"/>
        <v>2</v>
      </c>
    </row>
    <row r="305" spans="1:21" x14ac:dyDescent="0.15">
      <c r="A305" s="44" t="s">
        <v>110</v>
      </c>
      <c r="C305" s="44" t="s">
        <v>111</v>
      </c>
      <c r="D305" t="str">
        <f>VLOOKUP(Q305,PROVINCIAS!B$3:$D$70,2,0)</f>
        <v>28</v>
      </c>
      <c r="E305" s="20" t="s">
        <v>108</v>
      </c>
      <c r="F305">
        <f t="shared" si="12"/>
        <v>80</v>
      </c>
      <c r="G305" s="45">
        <v>100</v>
      </c>
      <c r="I305" s="29">
        <f>VLOOKUP(Q305,PROVINCIAS!B$2:$D$70,3,FALSE)</f>
        <v>12</v>
      </c>
      <c r="K305" s="20" t="str">
        <f t="shared" si="13"/>
        <v>F</v>
      </c>
      <c r="Q305" s="45" t="s">
        <v>112</v>
      </c>
      <c r="R305">
        <v>0</v>
      </c>
      <c r="S305">
        <v>0</v>
      </c>
      <c r="U305">
        <f t="shared" si="14"/>
        <v>2</v>
      </c>
    </row>
    <row r="306" spans="1:21" x14ac:dyDescent="0.15">
      <c r="A306" s="44" t="s">
        <v>110</v>
      </c>
      <c r="C306" s="44" t="s">
        <v>111</v>
      </c>
      <c r="D306" t="str">
        <f>VLOOKUP(Q306,PROVINCIAS!B$3:$D$70,2,0)</f>
        <v>33</v>
      </c>
      <c r="E306" s="20" t="s">
        <v>108</v>
      </c>
      <c r="F306">
        <f t="shared" si="12"/>
        <v>80</v>
      </c>
      <c r="G306" s="44">
        <v>25</v>
      </c>
      <c r="I306" s="29">
        <f>VLOOKUP(Q306,PROVINCIAS!B$2:$D$70,3,FALSE)</f>
        <v>3</v>
      </c>
      <c r="K306" s="20" t="str">
        <f t="shared" si="13"/>
        <v>F</v>
      </c>
      <c r="Q306" s="44" t="s">
        <v>117</v>
      </c>
      <c r="R306">
        <v>0</v>
      </c>
      <c r="S306">
        <v>0</v>
      </c>
      <c r="U306">
        <f t="shared" si="14"/>
        <v>2</v>
      </c>
    </row>
    <row r="307" spans="1:21" x14ac:dyDescent="0.15">
      <c r="A307" s="44" t="s">
        <v>110</v>
      </c>
      <c r="C307" s="44" t="s">
        <v>111</v>
      </c>
      <c r="D307" t="str">
        <f>VLOOKUP(Q307,PROVINCIAS!B$3:$D$70,2,0)</f>
        <v>46</v>
      </c>
      <c r="E307" s="20" t="s">
        <v>108</v>
      </c>
      <c r="F307">
        <f t="shared" si="12"/>
        <v>80</v>
      </c>
      <c r="G307" s="44">
        <v>25</v>
      </c>
      <c r="I307" s="29">
        <f>VLOOKUP(Q307,PROVINCIAS!B$2:$D$70,3,FALSE)</f>
        <v>17</v>
      </c>
      <c r="K307" s="20" t="str">
        <f t="shared" si="13"/>
        <v>F</v>
      </c>
      <c r="Q307" s="44" t="s">
        <v>120</v>
      </c>
      <c r="R307">
        <v>0</v>
      </c>
      <c r="S307">
        <v>0</v>
      </c>
      <c r="U307">
        <f t="shared" si="14"/>
        <v>2</v>
      </c>
    </row>
    <row r="308" spans="1:21" x14ac:dyDescent="0.15">
      <c r="A308" s="44" t="s">
        <v>110</v>
      </c>
      <c r="C308" s="44" t="s">
        <v>111</v>
      </c>
      <c r="D308" t="str">
        <f>VLOOKUP(Q308,PROVINCIAS!B$3:$D$70,2,0)</f>
        <v>33</v>
      </c>
      <c r="E308" s="20" t="s">
        <v>108</v>
      </c>
      <c r="F308">
        <f t="shared" si="12"/>
        <v>80</v>
      </c>
      <c r="G308" s="44">
        <v>30</v>
      </c>
      <c r="I308" s="29">
        <f>VLOOKUP(Q308,PROVINCIAS!B$2:$D$70,3,FALSE)</f>
        <v>3</v>
      </c>
      <c r="K308" s="20" t="str">
        <f t="shared" si="13"/>
        <v>F</v>
      </c>
      <c r="Q308" s="44" t="s">
        <v>117</v>
      </c>
      <c r="R308">
        <v>0</v>
      </c>
      <c r="S308">
        <v>0</v>
      </c>
      <c r="U308">
        <f t="shared" si="14"/>
        <v>2</v>
      </c>
    </row>
    <row r="309" spans="1:21" x14ac:dyDescent="0.15">
      <c r="A309" s="44" t="s">
        <v>110</v>
      </c>
      <c r="C309" s="44" t="s">
        <v>111</v>
      </c>
      <c r="D309" t="str">
        <f>VLOOKUP(Q309,PROVINCIAS!B$3:$D$70,2,0)</f>
        <v>43</v>
      </c>
      <c r="E309" s="20" t="s">
        <v>108</v>
      </c>
      <c r="F309">
        <f t="shared" si="12"/>
        <v>80</v>
      </c>
      <c r="G309" s="44">
        <v>25</v>
      </c>
      <c r="I309" s="29">
        <f>VLOOKUP(Q309,PROVINCIAS!B$2:$D$70,3,FALSE)</f>
        <v>9</v>
      </c>
      <c r="K309" s="20" t="str">
        <f t="shared" si="13"/>
        <v>F</v>
      </c>
      <c r="Q309" s="44" t="s">
        <v>135</v>
      </c>
      <c r="R309">
        <v>0</v>
      </c>
      <c r="S309">
        <v>0</v>
      </c>
      <c r="U309">
        <f t="shared" si="14"/>
        <v>2</v>
      </c>
    </row>
    <row r="310" spans="1:21" x14ac:dyDescent="0.15">
      <c r="A310" s="44" t="s">
        <v>110</v>
      </c>
      <c r="C310" s="44" t="s">
        <v>111</v>
      </c>
      <c r="D310" t="str">
        <f>VLOOKUP(Q310,PROVINCIAS!B$3:$D$70,2,0)</f>
        <v>26</v>
      </c>
      <c r="E310" s="20" t="s">
        <v>108</v>
      </c>
      <c r="F310">
        <f t="shared" si="12"/>
        <v>80</v>
      </c>
      <c r="G310" s="45">
        <v>25</v>
      </c>
      <c r="I310" s="29">
        <f>VLOOKUP(Q310,PROVINCIAS!B$2:$D$70,3,FALSE)</f>
        <v>16</v>
      </c>
      <c r="K310" s="20" t="str">
        <f t="shared" si="13"/>
        <v>F</v>
      </c>
      <c r="Q310" s="45" t="s">
        <v>153</v>
      </c>
      <c r="R310">
        <v>0</v>
      </c>
      <c r="S310">
        <v>0</v>
      </c>
      <c r="U310">
        <f t="shared" si="14"/>
        <v>2</v>
      </c>
    </row>
    <row r="311" spans="1:21" x14ac:dyDescent="0.15">
      <c r="A311" s="44" t="s">
        <v>110</v>
      </c>
      <c r="C311" s="44" t="s">
        <v>111</v>
      </c>
      <c r="D311" t="str">
        <f>VLOOKUP(Q311,PROVINCIAS!B$3:$D$70,2,0)</f>
        <v>28</v>
      </c>
      <c r="E311" s="20" t="s">
        <v>108</v>
      </c>
      <c r="F311">
        <f t="shared" si="12"/>
        <v>80</v>
      </c>
      <c r="G311" s="45">
        <v>25</v>
      </c>
      <c r="I311" s="29">
        <f>VLOOKUP(Q311,PROVINCIAS!B$2:$D$70,3,FALSE)</f>
        <v>12</v>
      </c>
      <c r="K311" s="20" t="str">
        <f t="shared" si="13"/>
        <v>F</v>
      </c>
      <c r="Q311" s="45" t="s">
        <v>112</v>
      </c>
      <c r="R311">
        <v>0</v>
      </c>
      <c r="S311">
        <v>0</v>
      </c>
      <c r="U311">
        <f t="shared" si="14"/>
        <v>2</v>
      </c>
    </row>
    <row r="312" spans="1:21" x14ac:dyDescent="0.15">
      <c r="A312" s="44" t="s">
        <v>110</v>
      </c>
      <c r="C312" s="44" t="s">
        <v>111</v>
      </c>
      <c r="D312" t="str">
        <f>VLOOKUP(Q312,PROVINCIAS!B$3:$D$70,2,0)</f>
        <v>14</v>
      </c>
      <c r="E312" s="20" t="s">
        <v>108</v>
      </c>
      <c r="F312">
        <f t="shared" si="12"/>
        <v>80</v>
      </c>
      <c r="G312" s="44">
        <v>25</v>
      </c>
      <c r="I312" s="29">
        <f>VLOOKUP(Q312,PROVINCIAS!B$2:$D$70,3,FALSE)</f>
        <v>1</v>
      </c>
      <c r="K312" s="20" t="str">
        <f t="shared" si="13"/>
        <v>F</v>
      </c>
      <c r="Q312" s="44" t="s">
        <v>137</v>
      </c>
      <c r="R312">
        <v>0</v>
      </c>
      <c r="S312">
        <v>0</v>
      </c>
      <c r="U312">
        <f t="shared" si="14"/>
        <v>2</v>
      </c>
    </row>
    <row r="313" spans="1:21" x14ac:dyDescent="0.15">
      <c r="A313" s="44" t="s">
        <v>110</v>
      </c>
      <c r="C313" s="44" t="s">
        <v>111</v>
      </c>
      <c r="D313" t="str">
        <f>VLOOKUP(Q313,PROVINCIAS!B$3:$D$70,2,0)</f>
        <v>08</v>
      </c>
      <c r="E313" s="20" t="s">
        <v>108</v>
      </c>
      <c r="F313">
        <f t="shared" si="12"/>
        <v>80</v>
      </c>
      <c r="G313" s="44">
        <v>25</v>
      </c>
      <c r="I313" s="29">
        <f>VLOOKUP(Q313,PROVINCIAS!B$2:$D$70,3,FALSE)</f>
        <v>9</v>
      </c>
      <c r="K313" s="20" t="str">
        <f t="shared" si="13"/>
        <v>F</v>
      </c>
      <c r="Q313" s="44" t="s">
        <v>128</v>
      </c>
      <c r="R313">
        <v>0</v>
      </c>
      <c r="S313">
        <v>0</v>
      </c>
      <c r="U313">
        <f t="shared" si="14"/>
        <v>2</v>
      </c>
    </row>
    <row r="314" spans="1:21" x14ac:dyDescent="0.15">
      <c r="A314" s="44" t="s">
        <v>110</v>
      </c>
      <c r="C314" s="44" t="s">
        <v>111</v>
      </c>
      <c r="D314" t="str">
        <f>VLOOKUP(Q314,PROVINCIAS!B$3:$D$70,2,0)</f>
        <v>12</v>
      </c>
      <c r="E314" s="20" t="s">
        <v>108</v>
      </c>
      <c r="F314">
        <f t="shared" si="12"/>
        <v>80</v>
      </c>
      <c r="G314" s="45">
        <v>30</v>
      </c>
      <c r="I314" s="29">
        <f>VLOOKUP(Q314,PROVINCIAS!B$2:$D$70,3,FALSE)</f>
        <v>17</v>
      </c>
      <c r="K314" s="20" t="str">
        <f t="shared" si="13"/>
        <v>F</v>
      </c>
      <c r="Q314" s="45" t="s">
        <v>140</v>
      </c>
      <c r="R314">
        <v>0</v>
      </c>
      <c r="S314">
        <v>0</v>
      </c>
      <c r="U314">
        <f t="shared" si="14"/>
        <v>2</v>
      </c>
    </row>
    <row r="315" spans="1:21" x14ac:dyDescent="0.15">
      <c r="A315" s="44" t="s">
        <v>110</v>
      </c>
      <c r="C315" s="44" t="s">
        <v>111</v>
      </c>
      <c r="D315" t="str">
        <f>VLOOKUP(Q315,PROVINCIAS!B$3:$D$70,2,0)</f>
        <v>33</v>
      </c>
      <c r="E315" s="20" t="s">
        <v>108</v>
      </c>
      <c r="F315">
        <f t="shared" si="12"/>
        <v>80</v>
      </c>
      <c r="G315" s="45">
        <v>30</v>
      </c>
      <c r="I315" s="29">
        <f>VLOOKUP(Q315,PROVINCIAS!B$2:$D$70,3,FALSE)</f>
        <v>3</v>
      </c>
      <c r="K315" s="20" t="str">
        <f t="shared" si="13"/>
        <v>F</v>
      </c>
      <c r="Q315" s="45" t="s">
        <v>117</v>
      </c>
      <c r="R315">
        <v>0</v>
      </c>
      <c r="S315">
        <v>0</v>
      </c>
      <c r="U315">
        <f t="shared" si="14"/>
        <v>2</v>
      </c>
    </row>
    <row r="316" spans="1:21" x14ac:dyDescent="0.15">
      <c r="A316" s="44" t="s">
        <v>110</v>
      </c>
      <c r="C316" s="44" t="s">
        <v>111</v>
      </c>
      <c r="D316" t="str">
        <f>VLOOKUP(Q316,PROVINCIAS!B$3:$D$70,2,0)</f>
        <v>28</v>
      </c>
      <c r="E316" s="20" t="s">
        <v>108</v>
      </c>
      <c r="F316">
        <f t="shared" si="12"/>
        <v>35</v>
      </c>
      <c r="G316" s="45">
        <v>200</v>
      </c>
      <c r="I316" s="29">
        <f>VLOOKUP(Q316,PROVINCIAS!B$2:$D$70,3,FALSE)</f>
        <v>12</v>
      </c>
      <c r="K316" s="20" t="str">
        <f t="shared" si="13"/>
        <v>F</v>
      </c>
      <c r="Q316" s="45" t="s">
        <v>112</v>
      </c>
      <c r="R316">
        <v>0</v>
      </c>
      <c r="S316">
        <v>0</v>
      </c>
      <c r="U316">
        <f t="shared" si="14"/>
        <v>2</v>
      </c>
    </row>
    <row r="317" spans="1:21" x14ac:dyDescent="0.15">
      <c r="A317" s="44" t="s">
        <v>110</v>
      </c>
      <c r="C317" s="44" t="s">
        <v>111</v>
      </c>
      <c r="D317" t="str">
        <f>VLOOKUP(Q317,PROVINCIAS!B$3:$D$70,2,0)</f>
        <v>28</v>
      </c>
      <c r="E317" s="20" t="s">
        <v>108</v>
      </c>
      <c r="F317">
        <f t="shared" si="12"/>
        <v>80</v>
      </c>
      <c r="G317" s="44">
        <v>25</v>
      </c>
      <c r="I317" s="29">
        <f>VLOOKUP(Q317,PROVINCIAS!B$2:$D$70,3,FALSE)</f>
        <v>12</v>
      </c>
      <c r="K317" s="20" t="str">
        <f t="shared" si="13"/>
        <v>F</v>
      </c>
      <c r="Q317" s="44" t="s">
        <v>112</v>
      </c>
      <c r="R317">
        <v>0</v>
      </c>
      <c r="S317">
        <v>0</v>
      </c>
      <c r="U317">
        <f t="shared" si="14"/>
        <v>2</v>
      </c>
    </row>
    <row r="318" spans="1:21" x14ac:dyDescent="0.15">
      <c r="A318" s="44" t="s">
        <v>110</v>
      </c>
      <c r="C318" s="44" t="s">
        <v>111</v>
      </c>
      <c r="D318" t="str">
        <f>VLOOKUP(Q318,PROVINCIAS!B$3:$D$70,2,0)</f>
        <v>50</v>
      </c>
      <c r="E318" s="20" t="s">
        <v>108</v>
      </c>
      <c r="F318">
        <f t="shared" si="12"/>
        <v>80</v>
      </c>
      <c r="G318" s="45">
        <v>60</v>
      </c>
      <c r="I318" s="29">
        <f>VLOOKUP(Q318,PROVINCIAS!B$2:$D$70,3,FALSE)</f>
        <v>2</v>
      </c>
      <c r="K318" s="20" t="str">
        <f t="shared" si="13"/>
        <v>F</v>
      </c>
      <c r="Q318" s="45" t="s">
        <v>109</v>
      </c>
      <c r="R318">
        <v>0</v>
      </c>
      <c r="S318">
        <v>0</v>
      </c>
      <c r="U318">
        <f t="shared" si="14"/>
        <v>2</v>
      </c>
    </row>
    <row r="319" spans="1:21" x14ac:dyDescent="0.15">
      <c r="A319" s="44" t="s">
        <v>110</v>
      </c>
      <c r="C319" s="44" t="s">
        <v>111</v>
      </c>
      <c r="D319" t="str">
        <f>VLOOKUP(Q319,PROVINCIAS!B$3:$D$70,2,0)</f>
        <v>39</v>
      </c>
      <c r="E319" s="20" t="s">
        <v>108</v>
      </c>
      <c r="F319">
        <f t="shared" si="12"/>
        <v>35</v>
      </c>
      <c r="G319" s="44">
        <v>250</v>
      </c>
      <c r="I319" s="29">
        <f>VLOOKUP(Q319,PROVINCIAS!B$2:$D$70,3,FALSE)</f>
        <v>6</v>
      </c>
      <c r="K319" s="20" t="str">
        <f t="shared" si="13"/>
        <v>F</v>
      </c>
      <c r="Q319" s="44" t="s">
        <v>138</v>
      </c>
      <c r="R319">
        <v>0</v>
      </c>
      <c r="S319">
        <v>0</v>
      </c>
      <c r="U319">
        <f t="shared" si="14"/>
        <v>2</v>
      </c>
    </row>
    <row r="320" spans="1:21" x14ac:dyDescent="0.15">
      <c r="A320" s="44" t="s">
        <v>110</v>
      </c>
      <c r="C320" s="44" t="s">
        <v>111</v>
      </c>
      <c r="D320" t="str">
        <f>VLOOKUP(Q320,PROVINCIAS!B$3:$D$70,2,0)</f>
        <v>33</v>
      </c>
      <c r="E320" s="20" t="s">
        <v>108</v>
      </c>
      <c r="F320">
        <f t="shared" si="12"/>
        <v>80</v>
      </c>
      <c r="G320" s="45">
        <v>25</v>
      </c>
      <c r="I320" s="29">
        <f>VLOOKUP(Q320,PROVINCIAS!B$2:$D$70,3,FALSE)</f>
        <v>3</v>
      </c>
      <c r="K320" s="20" t="str">
        <f t="shared" si="13"/>
        <v>F</v>
      </c>
      <c r="Q320" s="45" t="s">
        <v>117</v>
      </c>
      <c r="R320">
        <v>0</v>
      </c>
      <c r="S320">
        <v>0</v>
      </c>
      <c r="U320">
        <f t="shared" si="14"/>
        <v>2</v>
      </c>
    </row>
    <row r="321" spans="1:21" x14ac:dyDescent="0.15">
      <c r="A321" s="44" t="s">
        <v>110</v>
      </c>
      <c r="C321" s="44" t="s">
        <v>111</v>
      </c>
      <c r="D321" t="str">
        <f>VLOOKUP(Q321,PROVINCIAS!B$3:$D$70,2,0)</f>
        <v>33</v>
      </c>
      <c r="E321" s="20" t="s">
        <v>108</v>
      </c>
      <c r="F321">
        <f t="shared" si="12"/>
        <v>80</v>
      </c>
      <c r="G321" s="45">
        <v>50</v>
      </c>
      <c r="I321" s="29">
        <f>VLOOKUP(Q321,PROVINCIAS!B$2:$D$70,3,FALSE)</f>
        <v>3</v>
      </c>
      <c r="K321" s="20" t="str">
        <f t="shared" si="13"/>
        <v>F</v>
      </c>
      <c r="Q321" s="45" t="s">
        <v>117</v>
      </c>
      <c r="R321">
        <v>0</v>
      </c>
      <c r="S321">
        <v>0</v>
      </c>
      <c r="U321">
        <f t="shared" si="14"/>
        <v>2</v>
      </c>
    </row>
    <row r="322" spans="1:21" x14ac:dyDescent="0.15">
      <c r="A322" s="44" t="s">
        <v>110</v>
      </c>
      <c r="C322" s="44" t="s">
        <v>111</v>
      </c>
      <c r="D322" t="str">
        <f>VLOOKUP(Q322,PROVINCIAS!B$3:$D$70,2,0)</f>
        <v>41</v>
      </c>
      <c r="E322" s="20" t="s">
        <v>108</v>
      </c>
      <c r="F322">
        <f t="shared" si="12"/>
        <v>80</v>
      </c>
      <c r="G322" s="44">
        <v>30</v>
      </c>
      <c r="I322" s="29">
        <f>VLOOKUP(Q322,PROVINCIAS!B$2:$D$70,3,FALSE)</f>
        <v>1</v>
      </c>
      <c r="K322" s="20" t="str">
        <f t="shared" si="13"/>
        <v>F</v>
      </c>
      <c r="Q322" s="44" t="s">
        <v>139</v>
      </c>
      <c r="R322">
        <v>0</v>
      </c>
      <c r="S322">
        <v>0</v>
      </c>
      <c r="U322">
        <f t="shared" si="14"/>
        <v>2</v>
      </c>
    </row>
    <row r="323" spans="1:21" x14ac:dyDescent="0.15">
      <c r="A323" s="44" t="s">
        <v>110</v>
      </c>
      <c r="C323" s="44" t="s">
        <v>111</v>
      </c>
      <c r="D323" t="str">
        <f>VLOOKUP(Q323,PROVINCIAS!B$3:$D$70,2,0)</f>
        <v>33</v>
      </c>
      <c r="E323" s="20" t="s">
        <v>108</v>
      </c>
      <c r="F323">
        <f t="shared" ref="F323:F386" si="15">GetDeduccion2016(G323,U323,K323)</f>
        <v>80</v>
      </c>
      <c r="G323" s="44">
        <v>30</v>
      </c>
      <c r="I323" s="29">
        <f>VLOOKUP(Q323,PROVINCIAS!B$2:$D$70,3,FALSE)</f>
        <v>3</v>
      </c>
      <c r="K323" s="20" t="str">
        <f t="shared" ref="K323:K386" si="16">GetNaturaleza(A323)</f>
        <v>F</v>
      </c>
      <c r="Q323" s="44" t="s">
        <v>117</v>
      </c>
      <c r="R323">
        <v>0</v>
      </c>
      <c r="S323">
        <v>0</v>
      </c>
      <c r="U323">
        <f t="shared" ref="U323:U386" si="17">GetRecurrente(G323,R323,S323,T323)</f>
        <v>2</v>
      </c>
    </row>
    <row r="324" spans="1:21" x14ac:dyDescent="0.15">
      <c r="A324" s="44" t="s">
        <v>110</v>
      </c>
      <c r="C324" s="44" t="s">
        <v>111</v>
      </c>
      <c r="D324" t="str">
        <f>VLOOKUP(Q324,PROVINCIAS!B$3:$D$70,2,0)</f>
        <v>33</v>
      </c>
      <c r="E324" s="20" t="s">
        <v>108</v>
      </c>
      <c r="F324">
        <f t="shared" si="15"/>
        <v>80</v>
      </c>
      <c r="G324" s="45">
        <v>25</v>
      </c>
      <c r="I324" s="29">
        <f>VLOOKUP(Q324,PROVINCIAS!B$2:$D$70,3,FALSE)</f>
        <v>3</v>
      </c>
      <c r="K324" s="20" t="str">
        <f t="shared" si="16"/>
        <v>F</v>
      </c>
      <c r="Q324" s="45" t="s">
        <v>117</v>
      </c>
      <c r="R324">
        <v>0</v>
      </c>
      <c r="S324">
        <v>0</v>
      </c>
      <c r="U324">
        <f t="shared" si="17"/>
        <v>2</v>
      </c>
    </row>
    <row r="325" spans="1:21" x14ac:dyDescent="0.15">
      <c r="A325" s="44" t="s">
        <v>110</v>
      </c>
      <c r="C325" s="44" t="s">
        <v>111</v>
      </c>
      <c r="D325" t="str">
        <f>VLOOKUP(Q325,PROVINCIAS!B$3:$D$70,2,0)</f>
        <v>33</v>
      </c>
      <c r="E325" s="20" t="s">
        <v>108</v>
      </c>
      <c r="F325">
        <f t="shared" si="15"/>
        <v>80</v>
      </c>
      <c r="G325" s="44">
        <v>50</v>
      </c>
      <c r="I325" s="29">
        <f>VLOOKUP(Q325,PROVINCIAS!B$2:$D$70,3,FALSE)</f>
        <v>3</v>
      </c>
      <c r="K325" s="20" t="str">
        <f t="shared" si="16"/>
        <v>F</v>
      </c>
      <c r="Q325" s="44" t="s">
        <v>117</v>
      </c>
      <c r="R325">
        <v>0</v>
      </c>
      <c r="S325">
        <v>0</v>
      </c>
      <c r="U325">
        <f t="shared" si="17"/>
        <v>2</v>
      </c>
    </row>
    <row r="326" spans="1:21" x14ac:dyDescent="0.15">
      <c r="A326" s="44" t="s">
        <v>110</v>
      </c>
      <c r="C326" s="44" t="s">
        <v>111</v>
      </c>
      <c r="D326" t="str">
        <f>VLOOKUP(Q326,PROVINCIAS!B$3:$D$70,2,0)</f>
        <v>08</v>
      </c>
      <c r="E326" s="20" t="s">
        <v>108</v>
      </c>
      <c r="F326">
        <f t="shared" si="15"/>
        <v>80</v>
      </c>
      <c r="G326" s="46">
        <v>50</v>
      </c>
      <c r="I326" s="29">
        <f>VLOOKUP(Q326,PROVINCIAS!B$2:$D$70,3,FALSE)</f>
        <v>9</v>
      </c>
      <c r="K326" s="20" t="str">
        <f t="shared" si="16"/>
        <v>F</v>
      </c>
      <c r="Q326" s="46" t="s">
        <v>128</v>
      </c>
      <c r="R326">
        <v>0</v>
      </c>
      <c r="S326">
        <v>0</v>
      </c>
      <c r="U326">
        <f t="shared" si="17"/>
        <v>2</v>
      </c>
    </row>
    <row r="327" spans="1:21" x14ac:dyDescent="0.15">
      <c r="A327" s="44" t="s">
        <v>110</v>
      </c>
      <c r="C327" s="44" t="s">
        <v>111</v>
      </c>
      <c r="D327" t="str">
        <f>VLOOKUP(Q327,PROVINCIAS!B$3:$D$70,2,0)</f>
        <v>33</v>
      </c>
      <c r="E327" s="20" t="s">
        <v>108</v>
      </c>
      <c r="F327">
        <f t="shared" si="15"/>
        <v>80</v>
      </c>
      <c r="G327" s="45">
        <v>30</v>
      </c>
      <c r="I327" s="29">
        <f>VLOOKUP(Q327,PROVINCIAS!B$2:$D$70,3,FALSE)</f>
        <v>3</v>
      </c>
      <c r="K327" s="20" t="str">
        <f t="shared" si="16"/>
        <v>F</v>
      </c>
      <c r="Q327" s="45" t="s">
        <v>117</v>
      </c>
      <c r="R327">
        <v>0</v>
      </c>
      <c r="S327">
        <v>0</v>
      </c>
      <c r="U327">
        <f t="shared" si="17"/>
        <v>2</v>
      </c>
    </row>
    <row r="328" spans="1:21" x14ac:dyDescent="0.15">
      <c r="A328" s="44" t="s">
        <v>110</v>
      </c>
      <c r="C328" s="44" t="s">
        <v>111</v>
      </c>
      <c r="D328" t="str">
        <f>VLOOKUP(Q328,PROVINCIAS!B$3:$D$70,2,0)</f>
        <v>05</v>
      </c>
      <c r="E328" s="20" t="s">
        <v>108</v>
      </c>
      <c r="F328">
        <f t="shared" si="15"/>
        <v>80</v>
      </c>
      <c r="G328" s="45">
        <v>25</v>
      </c>
      <c r="I328" s="29">
        <f>VLOOKUP(Q328,PROVINCIAS!B$2:$D$70,3,FALSE)</f>
        <v>8</v>
      </c>
      <c r="K328" s="20" t="str">
        <f t="shared" si="16"/>
        <v>F</v>
      </c>
      <c r="Q328" s="45" t="s">
        <v>160</v>
      </c>
      <c r="R328">
        <v>0</v>
      </c>
      <c r="S328">
        <v>0</v>
      </c>
      <c r="U328">
        <f t="shared" si="17"/>
        <v>2</v>
      </c>
    </row>
    <row r="329" spans="1:21" x14ac:dyDescent="0.15">
      <c r="A329" s="44" t="s">
        <v>110</v>
      </c>
      <c r="C329" s="44" t="s">
        <v>111</v>
      </c>
      <c r="D329" t="str">
        <f>VLOOKUP(Q329,PROVINCIAS!B$3:$D$70,2,0)</f>
        <v>28</v>
      </c>
      <c r="E329" s="20" t="s">
        <v>108</v>
      </c>
      <c r="F329">
        <f t="shared" si="15"/>
        <v>80</v>
      </c>
      <c r="G329" s="45">
        <v>100</v>
      </c>
      <c r="I329" s="29">
        <f>VLOOKUP(Q329,PROVINCIAS!B$2:$D$70,3,FALSE)</f>
        <v>12</v>
      </c>
      <c r="K329" s="20" t="str">
        <f t="shared" si="16"/>
        <v>F</v>
      </c>
      <c r="Q329" s="45" t="s">
        <v>112</v>
      </c>
      <c r="R329">
        <v>0</v>
      </c>
      <c r="S329">
        <v>0</v>
      </c>
      <c r="U329">
        <f t="shared" si="17"/>
        <v>2</v>
      </c>
    </row>
    <row r="330" spans="1:21" x14ac:dyDescent="0.15">
      <c r="A330" s="44" t="s">
        <v>110</v>
      </c>
      <c r="C330" s="44" t="s">
        <v>111</v>
      </c>
      <c r="D330" t="str">
        <f>VLOOKUP(Q330,PROVINCIAS!B$3:$D$70,2,0)</f>
        <v>48</v>
      </c>
      <c r="E330" s="20" t="s">
        <v>108</v>
      </c>
      <c r="F330">
        <f t="shared" si="15"/>
        <v>80</v>
      </c>
      <c r="G330" s="45">
        <v>125</v>
      </c>
      <c r="I330" s="29">
        <f>VLOOKUP(Q330,PROVINCIAS!B$2:$D$70,3,FALSE)</f>
        <v>0</v>
      </c>
      <c r="K330" s="20" t="str">
        <f t="shared" si="16"/>
        <v>F</v>
      </c>
      <c r="Q330" s="45" t="s">
        <v>142</v>
      </c>
      <c r="R330">
        <v>0</v>
      </c>
      <c r="S330">
        <v>0</v>
      </c>
      <c r="U330">
        <f t="shared" si="17"/>
        <v>2</v>
      </c>
    </row>
    <row r="331" spans="1:21" x14ac:dyDescent="0.15">
      <c r="A331" s="44" t="s">
        <v>110</v>
      </c>
      <c r="C331" s="44" t="s">
        <v>111</v>
      </c>
      <c r="D331" t="str">
        <f>VLOOKUP(Q331,PROVINCIAS!B$3:$D$70,2,0)</f>
        <v>33</v>
      </c>
      <c r="E331" s="20" t="s">
        <v>108</v>
      </c>
      <c r="F331">
        <f t="shared" si="15"/>
        <v>80</v>
      </c>
      <c r="G331" s="45">
        <v>50</v>
      </c>
      <c r="I331" s="29">
        <f>VLOOKUP(Q331,PROVINCIAS!B$2:$D$70,3,FALSE)</f>
        <v>3</v>
      </c>
      <c r="K331" s="20" t="str">
        <f t="shared" si="16"/>
        <v>F</v>
      </c>
      <c r="Q331" s="45" t="s">
        <v>117</v>
      </c>
      <c r="R331">
        <v>0</v>
      </c>
      <c r="S331">
        <v>0</v>
      </c>
      <c r="U331">
        <f t="shared" si="17"/>
        <v>2</v>
      </c>
    </row>
    <row r="332" spans="1:21" x14ac:dyDescent="0.15">
      <c r="A332" s="44" t="s">
        <v>110</v>
      </c>
      <c r="C332" s="44" t="s">
        <v>111</v>
      </c>
      <c r="D332">
        <f>VLOOKUP(Q332,PROVINCIAS!B$3:$D$70,2,0)</f>
        <v>15</v>
      </c>
      <c r="E332" s="20" t="s">
        <v>108</v>
      </c>
      <c r="F332">
        <f t="shared" si="15"/>
        <v>80</v>
      </c>
      <c r="G332" s="45">
        <v>60</v>
      </c>
      <c r="I332" s="29">
        <f>VLOOKUP(Q332,PROVINCIAS!B$2:$D$70,3,FALSE)</f>
        <v>11</v>
      </c>
      <c r="K332" s="20" t="str">
        <f t="shared" si="16"/>
        <v>F</v>
      </c>
      <c r="Q332" s="45" t="s">
        <v>147</v>
      </c>
      <c r="R332">
        <v>0</v>
      </c>
      <c r="S332">
        <v>0</v>
      </c>
      <c r="U332">
        <f t="shared" si="17"/>
        <v>2</v>
      </c>
    </row>
    <row r="333" spans="1:21" x14ac:dyDescent="0.15">
      <c r="A333" s="44" t="s">
        <v>110</v>
      </c>
      <c r="C333" s="44" t="s">
        <v>111</v>
      </c>
      <c r="D333" t="str">
        <f>VLOOKUP(Q333,PROVINCIAS!B$3:$D$70,2,0)</f>
        <v>33</v>
      </c>
      <c r="E333" s="20" t="s">
        <v>108</v>
      </c>
      <c r="F333">
        <f t="shared" si="15"/>
        <v>80</v>
      </c>
      <c r="G333" s="45">
        <v>120</v>
      </c>
      <c r="I333" s="29">
        <f>VLOOKUP(Q333,PROVINCIAS!B$2:$D$70,3,FALSE)</f>
        <v>3</v>
      </c>
      <c r="K333" s="20" t="str">
        <f t="shared" si="16"/>
        <v>F</v>
      </c>
      <c r="Q333" s="45" t="s">
        <v>117</v>
      </c>
      <c r="R333">
        <v>0</v>
      </c>
      <c r="S333">
        <v>0</v>
      </c>
      <c r="U333">
        <f t="shared" si="17"/>
        <v>2</v>
      </c>
    </row>
    <row r="334" spans="1:21" x14ac:dyDescent="0.15">
      <c r="A334" s="44" t="s">
        <v>110</v>
      </c>
      <c r="C334" s="44" t="s">
        <v>111</v>
      </c>
      <c r="D334" t="str">
        <f>VLOOKUP(Q334,PROVINCIAS!B$3:$D$70,2,0)</f>
        <v>28</v>
      </c>
      <c r="E334" s="20" t="s">
        <v>108</v>
      </c>
      <c r="F334">
        <f t="shared" si="15"/>
        <v>80</v>
      </c>
      <c r="G334" s="45">
        <v>50</v>
      </c>
      <c r="I334" s="29">
        <f>VLOOKUP(Q334,PROVINCIAS!B$2:$D$70,3,FALSE)</f>
        <v>12</v>
      </c>
      <c r="K334" s="20" t="str">
        <f t="shared" si="16"/>
        <v>F</v>
      </c>
      <c r="Q334" s="45" t="s">
        <v>112</v>
      </c>
      <c r="R334">
        <v>0</v>
      </c>
      <c r="S334">
        <v>0</v>
      </c>
      <c r="U334">
        <f t="shared" si="17"/>
        <v>2</v>
      </c>
    </row>
    <row r="335" spans="1:21" x14ac:dyDescent="0.15">
      <c r="A335" s="44" t="s">
        <v>110</v>
      </c>
      <c r="C335" s="44" t="s">
        <v>111</v>
      </c>
      <c r="D335" t="str">
        <f>VLOOKUP(Q335,PROVINCIAS!B$3:$D$70,2,0)</f>
        <v>28</v>
      </c>
      <c r="E335" s="20" t="s">
        <v>108</v>
      </c>
      <c r="F335">
        <f t="shared" si="15"/>
        <v>80</v>
      </c>
      <c r="G335" s="45">
        <v>25</v>
      </c>
      <c r="I335" s="29">
        <f>VLOOKUP(Q335,PROVINCIAS!B$2:$D$70,3,FALSE)</f>
        <v>12</v>
      </c>
      <c r="K335" s="20" t="str">
        <f t="shared" si="16"/>
        <v>F</v>
      </c>
      <c r="Q335" s="45" t="s">
        <v>112</v>
      </c>
      <c r="R335">
        <v>0</v>
      </c>
      <c r="S335">
        <v>0</v>
      </c>
      <c r="U335">
        <f t="shared" si="17"/>
        <v>2</v>
      </c>
    </row>
    <row r="336" spans="1:21" x14ac:dyDescent="0.15">
      <c r="A336" s="44" t="s">
        <v>110</v>
      </c>
      <c r="C336" s="44" t="s">
        <v>111</v>
      </c>
      <c r="D336">
        <f>VLOOKUP(Q336,PROVINCIAS!B$3:$D$70,2,0)</f>
        <v>0</v>
      </c>
      <c r="E336" s="20" t="s">
        <v>108</v>
      </c>
      <c r="F336">
        <f t="shared" si="15"/>
        <v>80</v>
      </c>
      <c r="G336" s="44">
        <v>25</v>
      </c>
      <c r="I336" s="29">
        <f>VLOOKUP(Q336,PROVINCIAS!B$2:$D$70,3,FALSE)</f>
        <v>0</v>
      </c>
      <c r="K336" s="20" t="str">
        <f t="shared" si="16"/>
        <v>F</v>
      </c>
      <c r="Q336" s="44" t="s">
        <v>161</v>
      </c>
      <c r="R336">
        <v>0</v>
      </c>
      <c r="S336">
        <v>0</v>
      </c>
      <c r="U336">
        <f t="shared" si="17"/>
        <v>2</v>
      </c>
    </row>
    <row r="337" spans="1:21" x14ac:dyDescent="0.15">
      <c r="A337" s="44" t="s">
        <v>110</v>
      </c>
      <c r="C337" s="44" t="s">
        <v>111</v>
      </c>
      <c r="D337" t="str">
        <f>VLOOKUP(Q337,PROVINCIAS!B$3:$D$70,2,0)</f>
        <v>33</v>
      </c>
      <c r="E337" s="20" t="s">
        <v>108</v>
      </c>
      <c r="F337">
        <f t="shared" si="15"/>
        <v>80</v>
      </c>
      <c r="G337" s="44">
        <v>30</v>
      </c>
      <c r="I337" s="29">
        <f>VLOOKUP(Q337,PROVINCIAS!B$2:$D$70,3,FALSE)</f>
        <v>3</v>
      </c>
      <c r="K337" s="20" t="str">
        <f t="shared" si="16"/>
        <v>F</v>
      </c>
      <c r="Q337" s="44" t="s">
        <v>117</v>
      </c>
      <c r="R337">
        <v>0</v>
      </c>
      <c r="S337">
        <v>0</v>
      </c>
      <c r="U337">
        <f t="shared" si="17"/>
        <v>2</v>
      </c>
    </row>
    <row r="338" spans="1:21" x14ac:dyDescent="0.15">
      <c r="A338" s="44" t="s">
        <v>110</v>
      </c>
      <c r="C338" s="44" t="s">
        <v>111</v>
      </c>
      <c r="D338" t="str">
        <f>VLOOKUP(Q338,PROVINCIAS!B$3:$D$70,2,0)</f>
        <v>33</v>
      </c>
      <c r="E338" s="20" t="s">
        <v>108</v>
      </c>
      <c r="F338">
        <f t="shared" si="15"/>
        <v>80</v>
      </c>
      <c r="G338" s="44">
        <v>30</v>
      </c>
      <c r="I338" s="29">
        <f>VLOOKUP(Q338,PROVINCIAS!B$2:$D$70,3,FALSE)</f>
        <v>3</v>
      </c>
      <c r="K338" s="20" t="str">
        <f t="shared" si="16"/>
        <v>F</v>
      </c>
      <c r="Q338" s="44" t="s">
        <v>117</v>
      </c>
      <c r="R338">
        <v>0</v>
      </c>
      <c r="S338">
        <v>0</v>
      </c>
      <c r="U338">
        <f t="shared" si="17"/>
        <v>2</v>
      </c>
    </row>
    <row r="339" spans="1:21" x14ac:dyDescent="0.15">
      <c r="A339" s="44" t="s">
        <v>110</v>
      </c>
      <c r="C339" s="44" t="s">
        <v>111</v>
      </c>
      <c r="D339" t="str">
        <f>VLOOKUP(Q339,PROVINCIAS!B$3:$D$70,2,0)</f>
        <v>33</v>
      </c>
      <c r="E339" s="20" t="s">
        <v>108</v>
      </c>
      <c r="F339">
        <f t="shared" si="15"/>
        <v>80</v>
      </c>
      <c r="G339" s="45">
        <v>40</v>
      </c>
      <c r="I339" s="29">
        <f>VLOOKUP(Q339,PROVINCIAS!B$2:$D$70,3,FALSE)</f>
        <v>3</v>
      </c>
      <c r="K339" s="20" t="str">
        <f t="shared" si="16"/>
        <v>F</v>
      </c>
      <c r="Q339" s="45" t="s">
        <v>117</v>
      </c>
      <c r="R339">
        <v>0</v>
      </c>
      <c r="S339">
        <v>0</v>
      </c>
      <c r="U339">
        <f t="shared" si="17"/>
        <v>2</v>
      </c>
    </row>
    <row r="340" spans="1:21" x14ac:dyDescent="0.15">
      <c r="A340" s="44" t="s">
        <v>110</v>
      </c>
      <c r="C340" s="44" t="s">
        <v>111</v>
      </c>
      <c r="D340" t="str">
        <f>VLOOKUP(Q340,PROVINCIAS!B$3:$D$70,2,0)</f>
        <v>28</v>
      </c>
      <c r="E340" s="20" t="s">
        <v>108</v>
      </c>
      <c r="F340">
        <f t="shared" si="15"/>
        <v>80</v>
      </c>
      <c r="G340" s="44">
        <v>30</v>
      </c>
      <c r="I340" s="29">
        <f>VLOOKUP(Q340,PROVINCIAS!B$2:$D$70,3,FALSE)</f>
        <v>12</v>
      </c>
      <c r="K340" s="20" t="str">
        <f t="shared" si="16"/>
        <v>F</v>
      </c>
      <c r="Q340" s="44" t="s">
        <v>112</v>
      </c>
      <c r="R340">
        <v>0</v>
      </c>
      <c r="S340">
        <v>0</v>
      </c>
      <c r="U340">
        <f t="shared" si="17"/>
        <v>2</v>
      </c>
    </row>
    <row r="341" spans="1:21" x14ac:dyDescent="0.15">
      <c r="A341" s="44" t="s">
        <v>110</v>
      </c>
      <c r="C341" s="44" t="s">
        <v>111</v>
      </c>
      <c r="D341" t="str">
        <f>VLOOKUP(Q341,PROVINCIAS!B$3:$D$70,2,0)</f>
        <v>29</v>
      </c>
      <c r="E341" s="20" t="s">
        <v>108</v>
      </c>
      <c r="F341">
        <f t="shared" si="15"/>
        <v>80</v>
      </c>
      <c r="G341" s="45">
        <v>25</v>
      </c>
      <c r="I341" s="29">
        <f>VLOOKUP(Q341,PROVINCIAS!B$2:$D$70,3,FALSE)</f>
        <v>1</v>
      </c>
      <c r="K341" s="20" t="str">
        <f t="shared" si="16"/>
        <v>F</v>
      </c>
      <c r="Q341" s="45" t="s">
        <v>124</v>
      </c>
      <c r="R341">
        <v>0</v>
      </c>
      <c r="S341">
        <v>0</v>
      </c>
      <c r="U341">
        <f t="shared" si="17"/>
        <v>2</v>
      </c>
    </row>
    <row r="342" spans="1:21" x14ac:dyDescent="0.15">
      <c r="A342" s="44" t="s">
        <v>110</v>
      </c>
      <c r="C342" s="44" t="s">
        <v>111</v>
      </c>
      <c r="D342" t="str">
        <f>VLOOKUP(Q342,PROVINCIAS!B$3:$D$70,2,0)</f>
        <v>33</v>
      </c>
      <c r="E342" s="20" t="s">
        <v>108</v>
      </c>
      <c r="F342">
        <f t="shared" si="15"/>
        <v>80</v>
      </c>
      <c r="G342" s="44">
        <v>50</v>
      </c>
      <c r="I342" s="29">
        <f>VLOOKUP(Q342,PROVINCIAS!B$2:$D$70,3,FALSE)</f>
        <v>3</v>
      </c>
      <c r="K342" s="20" t="str">
        <f t="shared" si="16"/>
        <v>F</v>
      </c>
      <c r="Q342" s="44" t="s">
        <v>117</v>
      </c>
      <c r="R342">
        <v>0</v>
      </c>
      <c r="S342">
        <v>0</v>
      </c>
      <c r="U342">
        <f t="shared" si="17"/>
        <v>2</v>
      </c>
    </row>
    <row r="343" spans="1:21" x14ac:dyDescent="0.15">
      <c r="A343" s="44" t="s">
        <v>110</v>
      </c>
      <c r="C343" s="44" t="s">
        <v>111</v>
      </c>
      <c r="D343" t="str">
        <f>VLOOKUP(Q343,PROVINCIAS!B$3:$D$70,2,0)</f>
        <v>33</v>
      </c>
      <c r="E343" s="20" t="s">
        <v>108</v>
      </c>
      <c r="F343">
        <f t="shared" si="15"/>
        <v>80</v>
      </c>
      <c r="G343" s="45">
        <v>50</v>
      </c>
      <c r="I343" s="29">
        <f>VLOOKUP(Q343,PROVINCIAS!B$2:$D$70,3,FALSE)</f>
        <v>3</v>
      </c>
      <c r="K343" s="20" t="str">
        <f t="shared" si="16"/>
        <v>F</v>
      </c>
      <c r="Q343" s="45" t="s">
        <v>117</v>
      </c>
      <c r="R343">
        <v>0</v>
      </c>
      <c r="S343">
        <v>0</v>
      </c>
      <c r="U343">
        <f t="shared" si="17"/>
        <v>2</v>
      </c>
    </row>
    <row r="344" spans="1:21" x14ac:dyDescent="0.15">
      <c r="A344" s="44" t="s">
        <v>110</v>
      </c>
      <c r="C344" s="44" t="s">
        <v>111</v>
      </c>
      <c r="D344" t="str">
        <f>VLOOKUP(Q344,PROVINCIAS!B$3:$D$70,2,0)</f>
        <v>33</v>
      </c>
      <c r="E344" s="20" t="s">
        <v>108</v>
      </c>
      <c r="F344">
        <f t="shared" si="15"/>
        <v>80</v>
      </c>
      <c r="G344" s="44">
        <v>120</v>
      </c>
      <c r="I344" s="29">
        <f>VLOOKUP(Q344,PROVINCIAS!B$2:$D$70,3,FALSE)</f>
        <v>3</v>
      </c>
      <c r="K344" s="20" t="str">
        <f t="shared" si="16"/>
        <v>F</v>
      </c>
      <c r="Q344" s="44" t="s">
        <v>117</v>
      </c>
      <c r="R344">
        <v>0</v>
      </c>
      <c r="S344">
        <v>0</v>
      </c>
      <c r="U344">
        <f t="shared" si="17"/>
        <v>2</v>
      </c>
    </row>
    <row r="345" spans="1:21" x14ac:dyDescent="0.15">
      <c r="A345" s="44" t="s">
        <v>110</v>
      </c>
      <c r="C345" s="44" t="s">
        <v>111</v>
      </c>
      <c r="D345" t="str">
        <f>VLOOKUP(Q345,PROVINCIAS!B$3:$D$70,2,0)</f>
        <v>10</v>
      </c>
      <c r="E345" s="20" t="s">
        <v>108</v>
      </c>
      <c r="F345">
        <f t="shared" si="15"/>
        <v>80</v>
      </c>
      <c r="G345" s="45">
        <v>25</v>
      </c>
      <c r="I345" s="29">
        <f>VLOOKUP(Q345,PROVINCIAS!B$2:$D$70,3,FALSE)</f>
        <v>10</v>
      </c>
      <c r="K345" s="20" t="str">
        <f t="shared" si="16"/>
        <v>F</v>
      </c>
      <c r="Q345" s="45" t="s">
        <v>121</v>
      </c>
      <c r="R345">
        <v>0</v>
      </c>
      <c r="S345">
        <v>0</v>
      </c>
      <c r="U345">
        <f t="shared" si="17"/>
        <v>2</v>
      </c>
    </row>
    <row r="346" spans="1:21" x14ac:dyDescent="0.15">
      <c r="A346" s="44" t="s">
        <v>110</v>
      </c>
      <c r="C346" s="44" t="s">
        <v>111</v>
      </c>
      <c r="D346" t="str">
        <f>VLOOKUP(Q346,PROVINCIAS!B$3:$D$70,2,0)</f>
        <v>47</v>
      </c>
      <c r="E346" s="20" t="s">
        <v>108</v>
      </c>
      <c r="F346">
        <f t="shared" si="15"/>
        <v>80</v>
      </c>
      <c r="G346" s="45">
        <v>30</v>
      </c>
      <c r="I346" s="29">
        <f>VLOOKUP(Q346,PROVINCIAS!B$2:$D$70,3,FALSE)</f>
        <v>8</v>
      </c>
      <c r="K346" s="20" t="str">
        <f t="shared" si="16"/>
        <v>F</v>
      </c>
      <c r="Q346" s="45" t="s">
        <v>130</v>
      </c>
      <c r="R346">
        <v>0</v>
      </c>
      <c r="S346">
        <v>0</v>
      </c>
      <c r="U346">
        <f t="shared" si="17"/>
        <v>2</v>
      </c>
    </row>
    <row r="347" spans="1:21" x14ac:dyDescent="0.15">
      <c r="A347" s="44" t="s">
        <v>110</v>
      </c>
      <c r="C347" s="44" t="s">
        <v>111</v>
      </c>
      <c r="D347" t="str">
        <f>VLOOKUP(Q347,PROVINCIAS!B$3:$D$70,2,0)</f>
        <v>48</v>
      </c>
      <c r="E347" s="20" t="s">
        <v>108</v>
      </c>
      <c r="F347">
        <f t="shared" si="15"/>
        <v>80</v>
      </c>
      <c r="G347" s="45">
        <v>50</v>
      </c>
      <c r="I347" s="29">
        <f>VLOOKUP(Q347,PROVINCIAS!B$2:$D$70,3,FALSE)</f>
        <v>0</v>
      </c>
      <c r="K347" s="20" t="str">
        <f t="shared" si="16"/>
        <v>F</v>
      </c>
      <c r="Q347" s="45" t="s">
        <v>142</v>
      </c>
      <c r="R347">
        <v>0</v>
      </c>
      <c r="S347">
        <v>0</v>
      </c>
      <c r="U347">
        <f t="shared" si="17"/>
        <v>2</v>
      </c>
    </row>
    <row r="348" spans="1:21" x14ac:dyDescent="0.15">
      <c r="A348" s="44" t="s">
        <v>110</v>
      </c>
      <c r="C348" s="44" t="s">
        <v>111</v>
      </c>
      <c r="D348" t="str">
        <f>VLOOKUP(Q348,PROVINCIAS!B$3:$D$70,2,0)</f>
        <v>47</v>
      </c>
      <c r="E348" s="20" t="s">
        <v>108</v>
      </c>
      <c r="F348">
        <f t="shared" si="15"/>
        <v>80</v>
      </c>
      <c r="G348" s="44">
        <v>25</v>
      </c>
      <c r="I348" s="29">
        <f>VLOOKUP(Q348,PROVINCIAS!B$2:$D$70,3,FALSE)</f>
        <v>8</v>
      </c>
      <c r="K348" s="20" t="str">
        <f t="shared" si="16"/>
        <v>F</v>
      </c>
      <c r="Q348" s="44" t="s">
        <v>130</v>
      </c>
      <c r="R348">
        <v>0</v>
      </c>
      <c r="S348">
        <v>0</v>
      </c>
      <c r="U348">
        <f t="shared" si="17"/>
        <v>2</v>
      </c>
    </row>
    <row r="349" spans="1:21" x14ac:dyDescent="0.15">
      <c r="A349" s="44" t="s">
        <v>110</v>
      </c>
      <c r="C349" s="44" t="s">
        <v>111</v>
      </c>
      <c r="D349" t="str">
        <f>VLOOKUP(Q349,PROVINCIAS!B$3:$D$70,2,0)</f>
        <v>33</v>
      </c>
      <c r="E349" s="20" t="s">
        <v>108</v>
      </c>
      <c r="F349">
        <f t="shared" si="15"/>
        <v>80</v>
      </c>
      <c r="G349" s="44">
        <v>100</v>
      </c>
      <c r="I349" s="29">
        <f>VLOOKUP(Q349,PROVINCIAS!B$2:$D$70,3,FALSE)</f>
        <v>3</v>
      </c>
      <c r="K349" s="20" t="str">
        <f t="shared" si="16"/>
        <v>F</v>
      </c>
      <c r="Q349" s="44" t="s">
        <v>117</v>
      </c>
      <c r="R349">
        <v>0</v>
      </c>
      <c r="S349">
        <v>0</v>
      </c>
      <c r="U349">
        <f t="shared" si="17"/>
        <v>2</v>
      </c>
    </row>
    <row r="350" spans="1:21" x14ac:dyDescent="0.15">
      <c r="A350" s="44" t="s">
        <v>110</v>
      </c>
      <c r="C350" s="44" t="s">
        <v>111</v>
      </c>
      <c r="D350" t="str">
        <f>VLOOKUP(Q350,PROVINCIAS!B$3:$D$70,2,0)</f>
        <v>33</v>
      </c>
      <c r="E350" s="20" t="s">
        <v>108</v>
      </c>
      <c r="F350">
        <f t="shared" si="15"/>
        <v>80</v>
      </c>
      <c r="G350" s="45">
        <v>70</v>
      </c>
      <c r="I350" s="29">
        <f>VLOOKUP(Q350,PROVINCIAS!B$2:$D$70,3,FALSE)</f>
        <v>3</v>
      </c>
      <c r="K350" s="20" t="str">
        <f t="shared" si="16"/>
        <v>F</v>
      </c>
      <c r="Q350" s="45" t="s">
        <v>117</v>
      </c>
      <c r="R350">
        <v>0</v>
      </c>
      <c r="S350">
        <v>0</v>
      </c>
      <c r="U350">
        <f t="shared" si="17"/>
        <v>2</v>
      </c>
    </row>
    <row r="351" spans="1:21" x14ac:dyDescent="0.15">
      <c r="A351" s="44" t="s">
        <v>110</v>
      </c>
      <c r="C351" s="44" t="s">
        <v>111</v>
      </c>
      <c r="D351" t="str">
        <f>VLOOKUP(Q351,PROVINCIAS!B$3:$D$70,2,0)</f>
        <v>34</v>
      </c>
      <c r="E351" s="20" t="s">
        <v>108</v>
      </c>
      <c r="F351">
        <f t="shared" si="15"/>
        <v>80</v>
      </c>
      <c r="G351" s="45">
        <v>120</v>
      </c>
      <c r="I351" s="29">
        <f>VLOOKUP(Q351,PROVINCIAS!B$2:$D$70,3,FALSE)</f>
        <v>8</v>
      </c>
      <c r="K351" s="20" t="str">
        <f t="shared" si="16"/>
        <v>F</v>
      </c>
      <c r="Q351" s="45" t="s">
        <v>123</v>
      </c>
      <c r="R351">
        <v>0</v>
      </c>
      <c r="S351">
        <v>0</v>
      </c>
      <c r="U351">
        <f t="shared" si="17"/>
        <v>2</v>
      </c>
    </row>
    <row r="352" spans="1:21" x14ac:dyDescent="0.15">
      <c r="A352" s="44" t="s">
        <v>110</v>
      </c>
      <c r="C352" s="44" t="s">
        <v>111</v>
      </c>
      <c r="D352" t="str">
        <f>VLOOKUP(Q352,PROVINCIAS!B$3:$D$70,2,0)</f>
        <v>33</v>
      </c>
      <c r="E352" s="20" t="s">
        <v>108</v>
      </c>
      <c r="F352">
        <f t="shared" si="15"/>
        <v>80</v>
      </c>
      <c r="G352" s="44">
        <v>30</v>
      </c>
      <c r="I352" s="29">
        <f>VLOOKUP(Q352,PROVINCIAS!B$2:$D$70,3,FALSE)</f>
        <v>3</v>
      </c>
      <c r="K352" s="20" t="str">
        <f t="shared" si="16"/>
        <v>F</v>
      </c>
      <c r="Q352" s="44" t="s">
        <v>117</v>
      </c>
      <c r="R352">
        <v>0</v>
      </c>
      <c r="S352">
        <v>0</v>
      </c>
      <c r="U352">
        <f t="shared" si="17"/>
        <v>2</v>
      </c>
    </row>
    <row r="353" spans="1:21" x14ac:dyDescent="0.15">
      <c r="A353" s="44" t="s">
        <v>110</v>
      </c>
      <c r="C353" s="44" t="s">
        <v>111</v>
      </c>
      <c r="D353" t="str">
        <f>VLOOKUP(Q353,PROVINCIAS!B$3:$D$70,2,0)</f>
        <v>33</v>
      </c>
      <c r="E353" s="20" t="s">
        <v>108</v>
      </c>
      <c r="F353">
        <f t="shared" si="15"/>
        <v>80</v>
      </c>
      <c r="G353" s="44">
        <v>140</v>
      </c>
      <c r="I353" s="29">
        <f>VLOOKUP(Q353,PROVINCIAS!B$2:$D$70,3,FALSE)</f>
        <v>3</v>
      </c>
      <c r="K353" s="20" t="str">
        <f t="shared" si="16"/>
        <v>F</v>
      </c>
      <c r="Q353" s="44" t="s">
        <v>117</v>
      </c>
      <c r="R353">
        <v>0</v>
      </c>
      <c r="S353">
        <v>0</v>
      </c>
      <c r="U353">
        <f t="shared" si="17"/>
        <v>2</v>
      </c>
    </row>
    <row r="354" spans="1:21" x14ac:dyDescent="0.15">
      <c r="A354" s="44" t="s">
        <v>110</v>
      </c>
      <c r="C354" s="44" t="s">
        <v>111</v>
      </c>
      <c r="D354" t="str">
        <f>VLOOKUP(Q354,PROVINCIAS!B$3:$D$70,2,0)</f>
        <v>33</v>
      </c>
      <c r="E354" s="20" t="s">
        <v>108</v>
      </c>
      <c r="F354">
        <f t="shared" si="15"/>
        <v>80</v>
      </c>
      <c r="G354" s="44">
        <v>25</v>
      </c>
      <c r="I354" s="29">
        <f>VLOOKUP(Q354,PROVINCIAS!B$2:$D$70,3,FALSE)</f>
        <v>3</v>
      </c>
      <c r="K354" s="20" t="str">
        <f t="shared" si="16"/>
        <v>F</v>
      </c>
      <c r="Q354" s="44" t="s">
        <v>117</v>
      </c>
      <c r="R354">
        <v>0</v>
      </c>
      <c r="S354">
        <v>0</v>
      </c>
      <c r="U354">
        <f t="shared" si="17"/>
        <v>2</v>
      </c>
    </row>
    <row r="355" spans="1:21" x14ac:dyDescent="0.15">
      <c r="A355" s="44" t="s">
        <v>110</v>
      </c>
      <c r="C355" s="44" t="s">
        <v>111</v>
      </c>
      <c r="D355" t="str">
        <f>VLOOKUP(Q355,PROVINCIAS!B$3:$D$70,2,0)</f>
        <v>33</v>
      </c>
      <c r="E355" s="20" t="s">
        <v>108</v>
      </c>
      <c r="F355">
        <f t="shared" si="15"/>
        <v>80</v>
      </c>
      <c r="G355" s="44">
        <v>100</v>
      </c>
      <c r="I355" s="29">
        <f>VLOOKUP(Q355,PROVINCIAS!B$2:$D$70,3,FALSE)</f>
        <v>3</v>
      </c>
      <c r="K355" s="20" t="str">
        <f t="shared" si="16"/>
        <v>F</v>
      </c>
      <c r="Q355" s="44" t="s">
        <v>117</v>
      </c>
      <c r="R355">
        <v>0</v>
      </c>
      <c r="S355">
        <v>0</v>
      </c>
      <c r="U355">
        <f t="shared" si="17"/>
        <v>2</v>
      </c>
    </row>
    <row r="356" spans="1:21" x14ac:dyDescent="0.15">
      <c r="A356" s="44" t="s">
        <v>110</v>
      </c>
      <c r="C356" s="44" t="s">
        <v>111</v>
      </c>
      <c r="D356" t="str">
        <f>VLOOKUP(Q356,PROVINCIAS!B$3:$D$70,2,0)</f>
        <v>28</v>
      </c>
      <c r="E356" s="20" t="s">
        <v>108</v>
      </c>
      <c r="F356">
        <f t="shared" si="15"/>
        <v>80</v>
      </c>
      <c r="G356" s="45">
        <v>50</v>
      </c>
      <c r="I356" s="29">
        <f>VLOOKUP(Q356,PROVINCIAS!B$2:$D$70,3,FALSE)</f>
        <v>12</v>
      </c>
      <c r="K356" s="20" t="str">
        <f t="shared" si="16"/>
        <v>F</v>
      </c>
      <c r="Q356" s="45" t="s">
        <v>112</v>
      </c>
      <c r="R356">
        <v>0</v>
      </c>
      <c r="S356">
        <v>0</v>
      </c>
      <c r="U356">
        <f t="shared" si="17"/>
        <v>2</v>
      </c>
    </row>
    <row r="357" spans="1:21" x14ac:dyDescent="0.15">
      <c r="A357" s="44" t="s">
        <v>110</v>
      </c>
      <c r="C357" s="44" t="s">
        <v>111</v>
      </c>
      <c r="D357" t="str">
        <f>VLOOKUP(Q357,PROVINCIAS!B$3:$D$70,2,0)</f>
        <v>33</v>
      </c>
      <c r="E357" s="20" t="s">
        <v>108</v>
      </c>
      <c r="F357">
        <f t="shared" si="15"/>
        <v>80</v>
      </c>
      <c r="G357" s="45">
        <v>25</v>
      </c>
      <c r="I357" s="29">
        <f>VLOOKUP(Q357,PROVINCIAS!B$2:$D$70,3,FALSE)</f>
        <v>3</v>
      </c>
      <c r="K357" s="20" t="str">
        <f t="shared" si="16"/>
        <v>F</v>
      </c>
      <c r="Q357" s="45" t="s">
        <v>117</v>
      </c>
      <c r="R357">
        <v>0</v>
      </c>
      <c r="S357">
        <v>0</v>
      </c>
      <c r="U357">
        <f t="shared" si="17"/>
        <v>2</v>
      </c>
    </row>
    <row r="358" spans="1:21" x14ac:dyDescent="0.15">
      <c r="A358" s="44" t="s">
        <v>110</v>
      </c>
      <c r="C358" s="44" t="s">
        <v>111</v>
      </c>
      <c r="D358" t="str">
        <f>VLOOKUP(Q358,PROVINCIAS!B$3:$D$70,2,0)</f>
        <v>33</v>
      </c>
      <c r="E358" s="20" t="s">
        <v>108</v>
      </c>
      <c r="F358">
        <f t="shared" si="15"/>
        <v>80</v>
      </c>
      <c r="G358" s="44">
        <v>25</v>
      </c>
      <c r="I358" s="29">
        <f>VLOOKUP(Q358,PROVINCIAS!B$2:$D$70,3,FALSE)</f>
        <v>3</v>
      </c>
      <c r="K358" s="20" t="str">
        <f t="shared" si="16"/>
        <v>F</v>
      </c>
      <c r="Q358" s="44" t="s">
        <v>117</v>
      </c>
      <c r="R358">
        <v>0</v>
      </c>
      <c r="S358">
        <v>0</v>
      </c>
      <c r="U358">
        <f t="shared" si="17"/>
        <v>2</v>
      </c>
    </row>
    <row r="359" spans="1:21" x14ac:dyDescent="0.15">
      <c r="A359" s="44" t="s">
        <v>110</v>
      </c>
      <c r="C359" s="44" t="s">
        <v>111</v>
      </c>
      <c r="D359" t="str">
        <f>VLOOKUP(Q359,PROVINCIAS!B$3:$D$70,2,0)</f>
        <v>28</v>
      </c>
      <c r="E359" s="20" t="s">
        <v>108</v>
      </c>
      <c r="F359">
        <f t="shared" si="15"/>
        <v>80</v>
      </c>
      <c r="G359" s="45">
        <v>100</v>
      </c>
      <c r="I359" s="29">
        <f>VLOOKUP(Q359,PROVINCIAS!B$2:$D$70,3,FALSE)</f>
        <v>12</v>
      </c>
      <c r="K359" s="20" t="str">
        <f t="shared" si="16"/>
        <v>F</v>
      </c>
      <c r="Q359" s="45" t="s">
        <v>112</v>
      </c>
      <c r="R359">
        <v>0</v>
      </c>
      <c r="S359">
        <v>0</v>
      </c>
      <c r="U359">
        <f t="shared" si="17"/>
        <v>2</v>
      </c>
    </row>
    <row r="360" spans="1:21" x14ac:dyDescent="0.15">
      <c r="A360" s="44" t="s">
        <v>110</v>
      </c>
      <c r="C360" s="44" t="s">
        <v>111</v>
      </c>
      <c r="D360" t="str">
        <f>VLOOKUP(Q360,PROVINCIAS!B$3:$D$70,2,0)</f>
        <v>28</v>
      </c>
      <c r="E360" s="20" t="s">
        <v>108</v>
      </c>
      <c r="F360">
        <f t="shared" si="15"/>
        <v>80</v>
      </c>
      <c r="G360" s="45">
        <v>60</v>
      </c>
      <c r="I360" s="29">
        <f>VLOOKUP(Q360,PROVINCIAS!B$2:$D$70,3,FALSE)</f>
        <v>12</v>
      </c>
      <c r="K360" s="20" t="str">
        <f t="shared" si="16"/>
        <v>F</v>
      </c>
      <c r="Q360" s="45" t="s">
        <v>112</v>
      </c>
      <c r="R360">
        <v>0</v>
      </c>
      <c r="S360">
        <v>0</v>
      </c>
      <c r="U360">
        <f t="shared" si="17"/>
        <v>2</v>
      </c>
    </row>
    <row r="361" spans="1:21" x14ac:dyDescent="0.15">
      <c r="A361" s="44" t="s">
        <v>110</v>
      </c>
      <c r="C361" s="44" t="s">
        <v>111</v>
      </c>
      <c r="D361" t="str">
        <f>VLOOKUP(Q361,PROVINCIAS!B$3:$D$70,2,0)</f>
        <v>44</v>
      </c>
      <c r="E361" s="20" t="s">
        <v>108</v>
      </c>
      <c r="F361">
        <f t="shared" si="15"/>
        <v>80</v>
      </c>
      <c r="G361" s="44">
        <v>25</v>
      </c>
      <c r="I361" s="29">
        <f>VLOOKUP(Q361,PROVINCIAS!B$2:$D$70,3,FALSE)</f>
        <v>2</v>
      </c>
      <c r="K361" s="20" t="str">
        <f t="shared" si="16"/>
        <v>F</v>
      </c>
      <c r="Q361" s="44" t="s">
        <v>126</v>
      </c>
      <c r="R361">
        <v>0</v>
      </c>
      <c r="S361">
        <v>0</v>
      </c>
      <c r="U361">
        <f t="shared" si="17"/>
        <v>2</v>
      </c>
    </row>
    <row r="362" spans="1:21" x14ac:dyDescent="0.15">
      <c r="A362" s="44" t="s">
        <v>110</v>
      </c>
      <c r="C362" s="44" t="s">
        <v>111</v>
      </c>
      <c r="D362" t="str">
        <f>VLOOKUP(Q362,PROVINCIAS!B$3:$D$70,2,0)</f>
        <v>33</v>
      </c>
      <c r="E362" s="20" t="s">
        <v>108</v>
      </c>
      <c r="F362">
        <f t="shared" si="15"/>
        <v>80</v>
      </c>
      <c r="G362" s="45">
        <v>25</v>
      </c>
      <c r="I362" s="29">
        <f>VLOOKUP(Q362,PROVINCIAS!B$2:$D$70,3,FALSE)</f>
        <v>3</v>
      </c>
      <c r="K362" s="20" t="str">
        <f t="shared" si="16"/>
        <v>F</v>
      </c>
      <c r="Q362" s="45" t="s">
        <v>117</v>
      </c>
      <c r="R362">
        <v>0</v>
      </c>
      <c r="S362">
        <v>0</v>
      </c>
      <c r="U362">
        <f t="shared" si="17"/>
        <v>2</v>
      </c>
    </row>
    <row r="363" spans="1:21" x14ac:dyDescent="0.15">
      <c r="A363" s="44" t="s">
        <v>110</v>
      </c>
      <c r="C363" s="44" t="s">
        <v>111</v>
      </c>
      <c r="D363" t="str">
        <f>VLOOKUP(Q363,PROVINCIAS!B$3:$D$70,2,0)</f>
        <v>33</v>
      </c>
      <c r="E363" s="20" t="s">
        <v>108</v>
      </c>
      <c r="F363">
        <f t="shared" si="15"/>
        <v>80</v>
      </c>
      <c r="G363" s="44">
        <v>25</v>
      </c>
      <c r="I363" s="29">
        <f>VLOOKUP(Q363,PROVINCIAS!B$2:$D$70,3,FALSE)</f>
        <v>3</v>
      </c>
      <c r="K363" s="20" t="str">
        <f t="shared" si="16"/>
        <v>F</v>
      </c>
      <c r="Q363" s="44" t="s">
        <v>117</v>
      </c>
      <c r="R363">
        <v>0</v>
      </c>
      <c r="S363">
        <v>0</v>
      </c>
      <c r="U363">
        <f t="shared" si="17"/>
        <v>2</v>
      </c>
    </row>
    <row r="364" spans="1:21" x14ac:dyDescent="0.15">
      <c r="A364" s="44" t="s">
        <v>110</v>
      </c>
      <c r="C364" s="44" t="s">
        <v>111</v>
      </c>
      <c r="D364" t="str">
        <f>VLOOKUP(Q364,PROVINCIAS!B$3:$D$70,2,0)</f>
        <v>45</v>
      </c>
      <c r="E364" s="20" t="s">
        <v>108</v>
      </c>
      <c r="F364">
        <f t="shared" si="15"/>
        <v>80</v>
      </c>
      <c r="G364" s="45">
        <v>25</v>
      </c>
      <c r="I364" s="29">
        <f>VLOOKUP(Q364,PROVINCIAS!B$2:$D$70,3,FALSE)</f>
        <v>7</v>
      </c>
      <c r="K364" s="20" t="str">
        <f t="shared" si="16"/>
        <v>F</v>
      </c>
      <c r="Q364" s="45" t="s">
        <v>162</v>
      </c>
      <c r="R364">
        <v>0</v>
      </c>
      <c r="S364">
        <v>0</v>
      </c>
      <c r="U364">
        <f t="shared" si="17"/>
        <v>2</v>
      </c>
    </row>
    <row r="365" spans="1:21" x14ac:dyDescent="0.15">
      <c r="A365" s="44" t="s">
        <v>110</v>
      </c>
      <c r="C365" s="44" t="s">
        <v>111</v>
      </c>
      <c r="D365" t="str">
        <f>VLOOKUP(Q365,PROVINCIAS!B$3:$D$70,2,0)</f>
        <v>33</v>
      </c>
      <c r="E365" s="20" t="s">
        <v>108</v>
      </c>
      <c r="F365">
        <f t="shared" si="15"/>
        <v>80</v>
      </c>
      <c r="G365" s="45">
        <v>50</v>
      </c>
      <c r="I365" s="29">
        <f>VLOOKUP(Q365,PROVINCIAS!B$2:$D$70,3,FALSE)</f>
        <v>3</v>
      </c>
      <c r="K365" s="20" t="str">
        <f t="shared" si="16"/>
        <v>F</v>
      </c>
      <c r="Q365" s="45" t="s">
        <v>117</v>
      </c>
      <c r="R365">
        <v>0</v>
      </c>
      <c r="S365">
        <v>0</v>
      </c>
      <c r="U365">
        <f t="shared" si="17"/>
        <v>2</v>
      </c>
    </row>
    <row r="366" spans="1:21" x14ac:dyDescent="0.15">
      <c r="A366" s="44" t="s">
        <v>110</v>
      </c>
      <c r="C366" s="44" t="s">
        <v>111</v>
      </c>
      <c r="D366" t="str">
        <f>VLOOKUP(Q366,PROVINCIAS!B$3:$D$70,2,0)</f>
        <v>33</v>
      </c>
      <c r="E366" s="20" t="s">
        <v>108</v>
      </c>
      <c r="F366">
        <f t="shared" si="15"/>
        <v>80</v>
      </c>
      <c r="G366" s="44">
        <v>25</v>
      </c>
      <c r="I366" s="29">
        <f>VLOOKUP(Q366,PROVINCIAS!B$2:$D$70,3,FALSE)</f>
        <v>3</v>
      </c>
      <c r="K366" s="20" t="str">
        <f t="shared" si="16"/>
        <v>F</v>
      </c>
      <c r="Q366" s="44" t="s">
        <v>117</v>
      </c>
      <c r="R366">
        <v>0</v>
      </c>
      <c r="S366">
        <v>0</v>
      </c>
      <c r="U366">
        <f t="shared" si="17"/>
        <v>2</v>
      </c>
    </row>
    <row r="367" spans="1:21" x14ac:dyDescent="0.15">
      <c r="A367" s="44" t="s">
        <v>110</v>
      </c>
      <c r="C367" s="44" t="s">
        <v>111</v>
      </c>
      <c r="D367" t="str">
        <f>VLOOKUP(Q367,PROVINCIAS!B$3:$D$70,2,0)</f>
        <v>28</v>
      </c>
      <c r="E367" s="20" t="s">
        <v>108</v>
      </c>
      <c r="F367">
        <f t="shared" si="15"/>
        <v>80</v>
      </c>
      <c r="G367" s="45">
        <v>55</v>
      </c>
      <c r="I367" s="29">
        <f>VLOOKUP(Q367,PROVINCIAS!B$2:$D$70,3,FALSE)</f>
        <v>12</v>
      </c>
      <c r="K367" s="20" t="str">
        <f t="shared" si="16"/>
        <v>F</v>
      </c>
      <c r="Q367" s="45" t="s">
        <v>112</v>
      </c>
      <c r="R367">
        <v>0</v>
      </c>
      <c r="S367">
        <v>0</v>
      </c>
      <c r="U367">
        <f t="shared" si="17"/>
        <v>2</v>
      </c>
    </row>
    <row r="368" spans="1:21" x14ac:dyDescent="0.15">
      <c r="A368" s="44" t="s">
        <v>110</v>
      </c>
      <c r="C368" s="44" t="s">
        <v>111</v>
      </c>
      <c r="D368" t="str">
        <f>VLOOKUP(Q368,PROVINCIAS!B$3:$D$70,2,0)</f>
        <v>33</v>
      </c>
      <c r="E368" s="20" t="s">
        <v>108</v>
      </c>
      <c r="F368">
        <f t="shared" si="15"/>
        <v>80</v>
      </c>
      <c r="G368" s="45">
        <v>25</v>
      </c>
      <c r="I368" s="29">
        <f>VLOOKUP(Q368,PROVINCIAS!B$2:$D$70,3,FALSE)</f>
        <v>3</v>
      </c>
      <c r="K368" s="20" t="str">
        <f t="shared" si="16"/>
        <v>F</v>
      </c>
      <c r="Q368" s="45" t="s">
        <v>117</v>
      </c>
      <c r="R368">
        <v>0</v>
      </c>
      <c r="S368">
        <v>0</v>
      </c>
      <c r="U368">
        <f t="shared" si="17"/>
        <v>2</v>
      </c>
    </row>
    <row r="369" spans="1:21" x14ac:dyDescent="0.15">
      <c r="A369" s="44" t="s">
        <v>110</v>
      </c>
      <c r="C369" s="44" t="s">
        <v>111</v>
      </c>
      <c r="D369" t="str">
        <f>VLOOKUP(Q369,PROVINCIAS!B$3:$D$70,2,0)</f>
        <v>38</v>
      </c>
      <c r="E369" s="20" t="s">
        <v>108</v>
      </c>
      <c r="F369">
        <f t="shared" si="15"/>
        <v>80</v>
      </c>
      <c r="G369" s="44">
        <v>60</v>
      </c>
      <c r="I369" s="29">
        <f>VLOOKUP(Q369,PROVINCIAS!B$2:$D$70,3,FALSE)</f>
        <v>0</v>
      </c>
      <c r="K369" s="20" t="str">
        <f t="shared" si="16"/>
        <v>F</v>
      </c>
      <c r="Q369" s="44" t="s">
        <v>156</v>
      </c>
      <c r="R369">
        <v>0</v>
      </c>
      <c r="S369">
        <v>0</v>
      </c>
      <c r="U369">
        <f t="shared" si="17"/>
        <v>2</v>
      </c>
    </row>
    <row r="370" spans="1:21" x14ac:dyDescent="0.15">
      <c r="A370" s="44" t="s">
        <v>110</v>
      </c>
      <c r="C370" s="44" t="s">
        <v>111</v>
      </c>
      <c r="D370" t="str">
        <f>VLOOKUP(Q370,PROVINCIAS!B$3:$D$70,2,0)</f>
        <v>09</v>
      </c>
      <c r="E370" s="20" t="s">
        <v>108</v>
      </c>
      <c r="F370">
        <f t="shared" si="15"/>
        <v>80</v>
      </c>
      <c r="G370" s="45">
        <v>30</v>
      </c>
      <c r="I370" s="29">
        <f>VLOOKUP(Q370,PROVINCIAS!B$2:$D$70,3,FALSE)</f>
        <v>8</v>
      </c>
      <c r="K370" s="20" t="str">
        <f t="shared" si="16"/>
        <v>F</v>
      </c>
      <c r="Q370" s="45" t="s">
        <v>127</v>
      </c>
      <c r="R370">
        <v>0</v>
      </c>
      <c r="S370">
        <v>0</v>
      </c>
      <c r="U370">
        <f t="shared" si="17"/>
        <v>2</v>
      </c>
    </row>
    <row r="371" spans="1:21" x14ac:dyDescent="0.15">
      <c r="A371" s="44" t="s">
        <v>110</v>
      </c>
      <c r="C371" s="44" t="s">
        <v>111</v>
      </c>
      <c r="D371" t="str">
        <f>VLOOKUP(Q371,PROVINCIAS!B$3:$D$70,2,0)</f>
        <v>02</v>
      </c>
      <c r="E371" s="20" t="s">
        <v>108</v>
      </c>
      <c r="F371">
        <f t="shared" si="15"/>
        <v>80</v>
      </c>
      <c r="G371" s="45">
        <v>50</v>
      </c>
      <c r="I371" s="29">
        <f>VLOOKUP(Q371,PROVINCIAS!B$2:$D$70,3,FALSE)</f>
        <v>7</v>
      </c>
      <c r="K371" s="20" t="str">
        <f t="shared" si="16"/>
        <v>F</v>
      </c>
      <c r="Q371" s="45" t="s">
        <v>163</v>
      </c>
      <c r="R371">
        <v>0</v>
      </c>
      <c r="S371">
        <v>0</v>
      </c>
      <c r="U371">
        <f t="shared" si="17"/>
        <v>2</v>
      </c>
    </row>
    <row r="372" spans="1:21" x14ac:dyDescent="0.15">
      <c r="A372" s="44" t="s">
        <v>110</v>
      </c>
      <c r="C372" s="44" t="s">
        <v>111</v>
      </c>
      <c r="D372" t="str">
        <f>VLOOKUP(Q372,PROVINCIAS!B$3:$D$70,2,0)</f>
        <v>24</v>
      </c>
      <c r="E372" s="20" t="s">
        <v>108</v>
      </c>
      <c r="F372">
        <f t="shared" si="15"/>
        <v>80</v>
      </c>
      <c r="G372" s="45">
        <v>100</v>
      </c>
      <c r="I372" s="29">
        <f>VLOOKUP(Q372,PROVINCIAS!B$2:$D$70,3,FALSE)</f>
        <v>8</v>
      </c>
      <c r="K372" s="20" t="str">
        <f t="shared" si="16"/>
        <v>F</v>
      </c>
      <c r="Q372" s="45" t="s">
        <v>132</v>
      </c>
      <c r="R372">
        <v>0</v>
      </c>
      <c r="S372">
        <v>0</v>
      </c>
      <c r="U372">
        <f t="shared" si="17"/>
        <v>2</v>
      </c>
    </row>
    <row r="373" spans="1:21" x14ac:dyDescent="0.15">
      <c r="A373" s="44" t="s">
        <v>110</v>
      </c>
      <c r="C373" s="44" t="s">
        <v>111</v>
      </c>
      <c r="D373" t="str">
        <f>VLOOKUP(Q373,PROVINCIAS!B$3:$D$70,2,0)</f>
        <v>28</v>
      </c>
      <c r="E373" s="20" t="s">
        <v>108</v>
      </c>
      <c r="F373">
        <f t="shared" si="15"/>
        <v>80</v>
      </c>
      <c r="G373" s="45">
        <v>25</v>
      </c>
      <c r="I373" s="29">
        <f>VLOOKUP(Q373,PROVINCIAS!B$2:$D$70,3,FALSE)</f>
        <v>12</v>
      </c>
      <c r="K373" s="20" t="str">
        <f t="shared" si="16"/>
        <v>F</v>
      </c>
      <c r="Q373" s="45" t="s">
        <v>112</v>
      </c>
      <c r="R373">
        <v>0</v>
      </c>
      <c r="S373">
        <v>0</v>
      </c>
      <c r="U373">
        <f t="shared" si="17"/>
        <v>2</v>
      </c>
    </row>
    <row r="374" spans="1:21" x14ac:dyDescent="0.15">
      <c r="A374" s="44" t="s">
        <v>110</v>
      </c>
      <c r="C374" s="44" t="s">
        <v>111</v>
      </c>
      <c r="D374" t="str">
        <f>VLOOKUP(Q374,PROVINCIAS!B$3:$D$70,2,0)</f>
        <v>28</v>
      </c>
      <c r="E374" s="20" t="s">
        <v>108</v>
      </c>
      <c r="F374">
        <f t="shared" si="15"/>
        <v>80</v>
      </c>
      <c r="G374" s="45">
        <v>150</v>
      </c>
      <c r="I374" s="29">
        <f>VLOOKUP(Q374,PROVINCIAS!B$2:$D$70,3,FALSE)</f>
        <v>12</v>
      </c>
      <c r="K374" s="20" t="str">
        <f t="shared" si="16"/>
        <v>F</v>
      </c>
      <c r="Q374" s="45" t="s">
        <v>112</v>
      </c>
      <c r="R374">
        <v>0</v>
      </c>
      <c r="S374">
        <v>0</v>
      </c>
      <c r="U374">
        <f t="shared" si="17"/>
        <v>2</v>
      </c>
    </row>
    <row r="375" spans="1:21" x14ac:dyDescent="0.15">
      <c r="A375" s="44" t="s">
        <v>110</v>
      </c>
      <c r="C375" s="44" t="s">
        <v>111</v>
      </c>
      <c r="D375" t="str">
        <f>VLOOKUP(Q375,PROVINCIAS!B$3:$D$70,2,0)</f>
        <v>33</v>
      </c>
      <c r="E375" s="20" t="s">
        <v>108</v>
      </c>
      <c r="F375">
        <f t="shared" si="15"/>
        <v>80</v>
      </c>
      <c r="G375" s="44">
        <v>15</v>
      </c>
      <c r="I375" s="29">
        <f>VLOOKUP(Q375,PROVINCIAS!B$2:$D$70,3,FALSE)</f>
        <v>3</v>
      </c>
      <c r="K375" s="20" t="str">
        <f t="shared" si="16"/>
        <v>F</v>
      </c>
      <c r="Q375" s="44" t="s">
        <v>117</v>
      </c>
      <c r="R375">
        <v>0</v>
      </c>
      <c r="S375">
        <v>0</v>
      </c>
      <c r="U375">
        <f t="shared" si="17"/>
        <v>2</v>
      </c>
    </row>
    <row r="376" spans="1:21" x14ac:dyDescent="0.15">
      <c r="A376" s="44" t="s">
        <v>110</v>
      </c>
      <c r="C376" s="44" t="s">
        <v>111</v>
      </c>
      <c r="D376" t="str">
        <f>VLOOKUP(Q376,PROVINCIAS!B$3:$D$70,2,0)</f>
        <v>39</v>
      </c>
      <c r="E376" s="20" t="s">
        <v>108</v>
      </c>
      <c r="F376">
        <f t="shared" si="15"/>
        <v>80</v>
      </c>
      <c r="G376" s="45">
        <v>30</v>
      </c>
      <c r="I376" s="29">
        <f>VLOOKUP(Q376,PROVINCIAS!B$2:$D$70,3,FALSE)</f>
        <v>6</v>
      </c>
      <c r="K376" s="20" t="str">
        <f t="shared" si="16"/>
        <v>F</v>
      </c>
      <c r="Q376" s="45" t="s">
        <v>138</v>
      </c>
      <c r="R376">
        <v>0</v>
      </c>
      <c r="S376">
        <v>0</v>
      </c>
      <c r="U376">
        <f t="shared" si="17"/>
        <v>2</v>
      </c>
    </row>
    <row r="377" spans="1:21" x14ac:dyDescent="0.15">
      <c r="A377" s="44" t="s">
        <v>110</v>
      </c>
      <c r="C377" s="44" t="s">
        <v>111</v>
      </c>
      <c r="D377" t="str">
        <f>VLOOKUP(Q377,PROVINCIAS!B$3:$D$70,2,0)</f>
        <v>39</v>
      </c>
      <c r="E377" s="20" t="s">
        <v>108</v>
      </c>
      <c r="F377">
        <f t="shared" si="15"/>
        <v>80</v>
      </c>
      <c r="G377" s="44">
        <v>30</v>
      </c>
      <c r="I377" s="29">
        <f>VLOOKUP(Q377,PROVINCIAS!B$2:$D$70,3,FALSE)</f>
        <v>6</v>
      </c>
      <c r="K377" s="20" t="str">
        <f t="shared" si="16"/>
        <v>F</v>
      </c>
      <c r="Q377" s="44" t="s">
        <v>138</v>
      </c>
      <c r="R377">
        <v>0</v>
      </c>
      <c r="S377">
        <v>0</v>
      </c>
      <c r="U377">
        <f t="shared" si="17"/>
        <v>2</v>
      </c>
    </row>
    <row r="378" spans="1:21" x14ac:dyDescent="0.15">
      <c r="A378" s="44" t="s">
        <v>110</v>
      </c>
      <c r="C378" s="44" t="s">
        <v>111</v>
      </c>
      <c r="D378" t="str">
        <f>VLOOKUP(Q378,PROVINCIAS!B$3:$D$70,2,0)</f>
        <v>33</v>
      </c>
      <c r="E378" s="20" t="s">
        <v>108</v>
      </c>
      <c r="F378">
        <f t="shared" si="15"/>
        <v>80</v>
      </c>
      <c r="G378" s="45">
        <v>25</v>
      </c>
      <c r="I378" s="29">
        <f>VLOOKUP(Q378,PROVINCIAS!B$2:$D$70,3,FALSE)</f>
        <v>3</v>
      </c>
      <c r="K378" s="20" t="str">
        <f t="shared" si="16"/>
        <v>F</v>
      </c>
      <c r="Q378" s="45" t="s">
        <v>117</v>
      </c>
      <c r="R378">
        <v>0</v>
      </c>
      <c r="S378">
        <v>0</v>
      </c>
      <c r="U378">
        <f t="shared" si="17"/>
        <v>2</v>
      </c>
    </row>
    <row r="379" spans="1:21" x14ac:dyDescent="0.15">
      <c r="A379" s="44" t="s">
        <v>110</v>
      </c>
      <c r="C379" s="44" t="s">
        <v>111</v>
      </c>
      <c r="D379" t="str">
        <f>VLOOKUP(Q379,PROVINCIAS!B$3:$D$70,2,0)</f>
        <v>33</v>
      </c>
      <c r="E379" s="20" t="s">
        <v>108</v>
      </c>
      <c r="F379">
        <f t="shared" si="15"/>
        <v>80</v>
      </c>
      <c r="G379" s="44">
        <v>25</v>
      </c>
      <c r="I379" s="29">
        <f>VLOOKUP(Q379,PROVINCIAS!B$2:$D$70,3,FALSE)</f>
        <v>3</v>
      </c>
      <c r="K379" s="20" t="str">
        <f t="shared" si="16"/>
        <v>F</v>
      </c>
      <c r="Q379" s="44" t="s">
        <v>117</v>
      </c>
      <c r="R379">
        <v>0</v>
      </c>
      <c r="S379">
        <v>0</v>
      </c>
      <c r="U379">
        <f t="shared" si="17"/>
        <v>2</v>
      </c>
    </row>
    <row r="380" spans="1:21" x14ac:dyDescent="0.15">
      <c r="A380" s="44" t="s">
        <v>110</v>
      </c>
      <c r="C380" s="44" t="s">
        <v>111</v>
      </c>
      <c r="D380" t="str">
        <f>VLOOKUP(Q380,PROVINCIAS!B$3:$D$70,2,0)</f>
        <v>28</v>
      </c>
      <c r="E380" s="20" t="s">
        <v>108</v>
      </c>
      <c r="F380">
        <f t="shared" si="15"/>
        <v>80</v>
      </c>
      <c r="G380" s="45">
        <v>60</v>
      </c>
      <c r="I380" s="29">
        <f>VLOOKUP(Q380,PROVINCIAS!B$2:$D$70,3,FALSE)</f>
        <v>12</v>
      </c>
      <c r="K380" s="20" t="str">
        <f t="shared" si="16"/>
        <v>F</v>
      </c>
      <c r="Q380" s="45" t="s">
        <v>112</v>
      </c>
      <c r="R380">
        <v>0</v>
      </c>
      <c r="S380">
        <v>0</v>
      </c>
      <c r="U380">
        <f t="shared" si="17"/>
        <v>2</v>
      </c>
    </row>
    <row r="381" spans="1:21" x14ac:dyDescent="0.15">
      <c r="A381" s="44" t="s">
        <v>110</v>
      </c>
      <c r="C381" s="44" t="s">
        <v>111</v>
      </c>
      <c r="D381" t="str">
        <f>VLOOKUP(Q381,PROVINCIAS!B$3:$D$70,2,0)</f>
        <v>08</v>
      </c>
      <c r="E381" s="20" t="s">
        <v>108</v>
      </c>
      <c r="F381">
        <f t="shared" si="15"/>
        <v>80</v>
      </c>
      <c r="G381" s="44">
        <v>5</v>
      </c>
      <c r="I381" s="29">
        <f>VLOOKUP(Q381,PROVINCIAS!B$2:$D$70,3,FALSE)</f>
        <v>9</v>
      </c>
      <c r="K381" s="20" t="str">
        <f t="shared" si="16"/>
        <v>F</v>
      </c>
      <c r="Q381" s="44" t="s">
        <v>128</v>
      </c>
      <c r="R381">
        <v>0</v>
      </c>
      <c r="S381">
        <v>0</v>
      </c>
      <c r="U381">
        <f t="shared" si="17"/>
        <v>2</v>
      </c>
    </row>
    <row r="382" spans="1:21" x14ac:dyDescent="0.15">
      <c r="A382" s="44" t="s">
        <v>110</v>
      </c>
      <c r="C382" s="44" t="s">
        <v>111</v>
      </c>
      <c r="D382" t="str">
        <f>VLOOKUP(Q382,PROVINCIAS!B$3:$D$70,2,0)</f>
        <v>33</v>
      </c>
      <c r="E382" s="20" t="s">
        <v>108</v>
      </c>
      <c r="F382">
        <f t="shared" si="15"/>
        <v>80</v>
      </c>
      <c r="G382" s="45">
        <v>80</v>
      </c>
      <c r="I382" s="29">
        <f>VLOOKUP(Q382,PROVINCIAS!B$2:$D$70,3,FALSE)</f>
        <v>3</v>
      </c>
      <c r="K382" s="20" t="str">
        <f t="shared" si="16"/>
        <v>F</v>
      </c>
      <c r="Q382" s="45" t="s">
        <v>117</v>
      </c>
      <c r="R382">
        <v>0</v>
      </c>
      <c r="S382">
        <v>0</v>
      </c>
      <c r="U382">
        <f t="shared" si="17"/>
        <v>2</v>
      </c>
    </row>
    <row r="383" spans="1:21" x14ac:dyDescent="0.15">
      <c r="A383" s="44" t="s">
        <v>110</v>
      </c>
      <c r="C383" s="44" t="s">
        <v>111</v>
      </c>
      <c r="D383" t="str">
        <f>VLOOKUP(Q383,PROVINCIAS!B$3:$D$70,2,0)</f>
        <v>18</v>
      </c>
      <c r="E383" s="20" t="s">
        <v>108</v>
      </c>
      <c r="F383">
        <f t="shared" si="15"/>
        <v>80</v>
      </c>
      <c r="G383" s="44">
        <v>5</v>
      </c>
      <c r="I383" s="29">
        <f>VLOOKUP(Q383,PROVINCIAS!B$2:$D$70,3,FALSE)</f>
        <v>1</v>
      </c>
      <c r="K383" s="20" t="str">
        <f t="shared" si="16"/>
        <v>F</v>
      </c>
      <c r="Q383" s="44" t="s">
        <v>129</v>
      </c>
      <c r="R383">
        <v>0</v>
      </c>
      <c r="S383">
        <v>0</v>
      </c>
      <c r="U383">
        <f t="shared" si="17"/>
        <v>2</v>
      </c>
    </row>
    <row r="384" spans="1:21" x14ac:dyDescent="0.15">
      <c r="A384" s="44" t="s">
        <v>110</v>
      </c>
      <c r="C384" s="44" t="s">
        <v>111</v>
      </c>
      <c r="D384" t="str">
        <f>VLOOKUP(Q384,PROVINCIAS!B$3:$D$70,2,0)</f>
        <v>34</v>
      </c>
      <c r="E384" s="20" t="s">
        <v>108</v>
      </c>
      <c r="F384">
        <f t="shared" si="15"/>
        <v>80</v>
      </c>
      <c r="G384" s="44">
        <v>30</v>
      </c>
      <c r="I384" s="29">
        <f>VLOOKUP(Q384,PROVINCIAS!B$2:$D$70,3,FALSE)</f>
        <v>8</v>
      </c>
      <c r="K384" s="20" t="str">
        <f t="shared" si="16"/>
        <v>F</v>
      </c>
      <c r="Q384" s="44" t="s">
        <v>123</v>
      </c>
      <c r="R384">
        <v>0</v>
      </c>
      <c r="S384">
        <v>0</v>
      </c>
      <c r="U384">
        <f t="shared" si="17"/>
        <v>2</v>
      </c>
    </row>
    <row r="385" spans="1:21" x14ac:dyDescent="0.15">
      <c r="A385" s="44" t="s">
        <v>110</v>
      </c>
      <c r="C385" s="44" t="s">
        <v>111</v>
      </c>
      <c r="D385" t="str">
        <f>VLOOKUP(Q385,PROVINCIAS!B$3:$D$70,2,0)</f>
        <v>33</v>
      </c>
      <c r="E385" s="20" t="s">
        <v>108</v>
      </c>
      <c r="F385">
        <f t="shared" si="15"/>
        <v>80</v>
      </c>
      <c r="G385" s="45">
        <v>30</v>
      </c>
      <c r="I385" s="29">
        <f>VLOOKUP(Q385,PROVINCIAS!B$2:$D$70,3,FALSE)</f>
        <v>3</v>
      </c>
      <c r="K385" s="20" t="str">
        <f t="shared" si="16"/>
        <v>F</v>
      </c>
      <c r="Q385" s="45" t="s">
        <v>117</v>
      </c>
      <c r="R385">
        <v>0</v>
      </c>
      <c r="S385">
        <v>0</v>
      </c>
      <c r="U385">
        <f t="shared" si="17"/>
        <v>2</v>
      </c>
    </row>
    <row r="386" spans="1:21" x14ac:dyDescent="0.15">
      <c r="A386" s="44" t="s">
        <v>110</v>
      </c>
      <c r="C386" s="44" t="s">
        <v>111</v>
      </c>
      <c r="D386" t="str">
        <f>VLOOKUP(Q386,PROVINCIAS!B$3:$D$70,2,0)</f>
        <v>33</v>
      </c>
      <c r="E386" s="20" t="s">
        <v>108</v>
      </c>
      <c r="F386">
        <f t="shared" si="15"/>
        <v>80</v>
      </c>
      <c r="G386" s="44">
        <v>30</v>
      </c>
      <c r="I386" s="29">
        <f>VLOOKUP(Q386,PROVINCIAS!B$2:$D$70,3,FALSE)</f>
        <v>3</v>
      </c>
      <c r="K386" s="20" t="str">
        <f t="shared" si="16"/>
        <v>F</v>
      </c>
      <c r="Q386" s="44" t="s">
        <v>117</v>
      </c>
      <c r="R386">
        <v>0</v>
      </c>
      <c r="S386">
        <v>0</v>
      </c>
      <c r="U386">
        <f t="shared" si="17"/>
        <v>2</v>
      </c>
    </row>
    <row r="387" spans="1:21" x14ac:dyDescent="0.15">
      <c r="A387" s="44" t="s">
        <v>110</v>
      </c>
      <c r="C387" s="44" t="s">
        <v>111</v>
      </c>
      <c r="D387" t="str">
        <f>VLOOKUP(Q387,PROVINCIAS!B$3:$D$70,2,0)</f>
        <v>24</v>
      </c>
      <c r="E387" s="20" t="s">
        <v>108</v>
      </c>
      <c r="F387">
        <f t="shared" ref="F387:F393" si="18">GetDeduccion2016(G387,U387,K387)</f>
        <v>80</v>
      </c>
      <c r="G387" s="45">
        <v>50</v>
      </c>
      <c r="I387" s="29">
        <f>VLOOKUP(Q387,PROVINCIAS!B$2:$D$70,3,FALSE)</f>
        <v>8</v>
      </c>
      <c r="K387" s="20" t="str">
        <f t="shared" ref="K387:K393" si="19">GetNaturaleza(A387)</f>
        <v>F</v>
      </c>
      <c r="Q387" s="45" t="s">
        <v>132</v>
      </c>
      <c r="R387">
        <v>0</v>
      </c>
      <c r="S387">
        <v>0</v>
      </c>
      <c r="U387">
        <f t="shared" ref="U387:U393" si="20">GetRecurrente(G387,R387,S387,T387)</f>
        <v>2</v>
      </c>
    </row>
    <row r="388" spans="1:21" x14ac:dyDescent="0.15">
      <c r="A388" s="44" t="s">
        <v>110</v>
      </c>
      <c r="C388" s="44" t="s">
        <v>111</v>
      </c>
      <c r="D388" t="str">
        <f>VLOOKUP(Q388,PROVINCIAS!B$3:$D$70,2,0)</f>
        <v>36</v>
      </c>
      <c r="E388" s="20" t="s">
        <v>108</v>
      </c>
      <c r="F388">
        <f t="shared" si="18"/>
        <v>80</v>
      </c>
      <c r="G388" s="47">
        <v>25</v>
      </c>
      <c r="I388" s="29">
        <f>VLOOKUP(Q388,PROVINCIAS!B$2:$D$70,3,FALSE)</f>
        <v>11</v>
      </c>
      <c r="K388" s="20" t="str">
        <f t="shared" si="19"/>
        <v>F</v>
      </c>
      <c r="Q388" s="47" t="s">
        <v>154</v>
      </c>
      <c r="R388">
        <v>0</v>
      </c>
      <c r="S388">
        <v>0</v>
      </c>
      <c r="U388">
        <f t="shared" si="20"/>
        <v>2</v>
      </c>
    </row>
    <row r="389" spans="1:21" x14ac:dyDescent="0.15">
      <c r="A389" s="44" t="s">
        <v>110</v>
      </c>
      <c r="C389" s="44" t="s">
        <v>111</v>
      </c>
      <c r="D389" t="str">
        <f>VLOOKUP(Q389,PROVINCIAS!B$3:$D$70,2,0)</f>
        <v>33</v>
      </c>
      <c r="E389" s="20" t="s">
        <v>108</v>
      </c>
      <c r="F389">
        <f t="shared" si="18"/>
        <v>80</v>
      </c>
      <c r="G389" s="47">
        <v>25</v>
      </c>
      <c r="I389" s="29">
        <f>VLOOKUP(Q389,PROVINCIAS!B$2:$D$70,3,FALSE)</f>
        <v>3</v>
      </c>
      <c r="K389" s="20" t="str">
        <f t="shared" si="19"/>
        <v>F</v>
      </c>
      <c r="Q389" s="47" t="s">
        <v>117</v>
      </c>
      <c r="R389">
        <v>0</v>
      </c>
      <c r="S389">
        <v>0</v>
      </c>
      <c r="U389">
        <f t="shared" si="20"/>
        <v>2</v>
      </c>
    </row>
    <row r="390" spans="1:21" x14ac:dyDescent="0.15">
      <c r="A390" s="44" t="s">
        <v>110</v>
      </c>
      <c r="C390" s="44" t="s">
        <v>111</v>
      </c>
      <c r="D390" t="str">
        <f>VLOOKUP(Q390,PROVINCIAS!B$3:$D$70,2,0)</f>
        <v>37</v>
      </c>
      <c r="E390" s="20" t="s">
        <v>108</v>
      </c>
      <c r="F390">
        <f t="shared" si="18"/>
        <v>80</v>
      </c>
      <c r="G390" s="47">
        <v>25</v>
      </c>
      <c r="I390" s="29">
        <f>VLOOKUP(Q390,PROVINCIAS!B$2:$D$70,3,FALSE)</f>
        <v>8</v>
      </c>
      <c r="K390" s="20" t="str">
        <f t="shared" si="19"/>
        <v>F</v>
      </c>
      <c r="Q390" s="47" t="s">
        <v>134</v>
      </c>
      <c r="R390">
        <v>0</v>
      </c>
      <c r="S390">
        <v>0</v>
      </c>
      <c r="U390">
        <f t="shared" si="20"/>
        <v>2</v>
      </c>
    </row>
    <row r="391" spans="1:21" x14ac:dyDescent="0.15">
      <c r="A391" s="44" t="s">
        <v>110</v>
      </c>
      <c r="C391" s="44" t="s">
        <v>111</v>
      </c>
      <c r="D391" t="str">
        <f>VLOOKUP(Q391,PROVINCIAS!B$3:$D$70,2,0)</f>
        <v>28</v>
      </c>
      <c r="E391" s="20" t="s">
        <v>108</v>
      </c>
      <c r="F391">
        <f t="shared" si="18"/>
        <v>80</v>
      </c>
      <c r="G391" s="47">
        <v>5</v>
      </c>
      <c r="I391" s="29">
        <f>VLOOKUP(Q391,PROVINCIAS!B$2:$D$70,3,FALSE)</f>
        <v>12</v>
      </c>
      <c r="K391" s="20" t="str">
        <f t="shared" si="19"/>
        <v>F</v>
      </c>
      <c r="Q391" s="47" t="s">
        <v>112</v>
      </c>
      <c r="R391">
        <v>0</v>
      </c>
      <c r="S391">
        <v>0</v>
      </c>
      <c r="U391">
        <f t="shared" si="20"/>
        <v>2</v>
      </c>
    </row>
    <row r="392" spans="1:21" x14ac:dyDescent="0.15">
      <c r="A392" s="44" t="s">
        <v>110</v>
      </c>
      <c r="C392" s="44" t="s">
        <v>111</v>
      </c>
      <c r="D392" t="str">
        <f>VLOOKUP(Q392,PROVINCIAS!B$3:$D$70,2,0)</f>
        <v>33</v>
      </c>
      <c r="E392" s="20" t="s">
        <v>108</v>
      </c>
      <c r="F392">
        <f t="shared" si="18"/>
        <v>35</v>
      </c>
      <c r="G392" s="47">
        <v>5200</v>
      </c>
      <c r="I392" s="29">
        <f>VLOOKUP(Q392,PROVINCIAS!B$2:$D$70,3,FALSE)</f>
        <v>3</v>
      </c>
      <c r="K392" s="20" t="str">
        <f t="shared" si="19"/>
        <v>F</v>
      </c>
      <c r="Q392" s="47" t="s">
        <v>117</v>
      </c>
      <c r="R392">
        <v>0</v>
      </c>
      <c r="S392">
        <v>0</v>
      </c>
      <c r="U392">
        <f t="shared" si="20"/>
        <v>2</v>
      </c>
    </row>
    <row r="393" spans="1:21" x14ac:dyDescent="0.15">
      <c r="A393" s="44" t="s">
        <v>110</v>
      </c>
      <c r="C393" s="44" t="s">
        <v>111</v>
      </c>
      <c r="D393">
        <f>VLOOKUP(Q393,PROVINCIAS!B$3:$D$70,2,0)</f>
        <v>15</v>
      </c>
      <c r="E393" s="20" t="s">
        <v>108</v>
      </c>
      <c r="F393">
        <f t="shared" si="18"/>
        <v>80</v>
      </c>
      <c r="G393" s="50">
        <v>50</v>
      </c>
      <c r="K393" s="20" t="str">
        <f t="shared" si="19"/>
        <v>F</v>
      </c>
      <c r="Q393" s="50" t="s">
        <v>147</v>
      </c>
      <c r="R393">
        <v>0</v>
      </c>
      <c r="S393">
        <v>0</v>
      </c>
      <c r="U393">
        <f t="shared" si="20"/>
        <v>2</v>
      </c>
    </row>
  </sheetData>
  <phoneticPr fontId="1" type="noConversion"/>
  <pageMargins left="0.75" right="0.75" top="1" bottom="1" header="0" footer="0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62"/>
  <sheetViews>
    <sheetView topLeftCell="A37" workbookViewId="0">
      <selection activeCell="B62" sqref="B62"/>
    </sheetView>
  </sheetViews>
  <sheetFormatPr baseColWidth="10" defaultColWidth="11.5" defaultRowHeight="13" x14ac:dyDescent="0.15"/>
  <cols>
    <col min="1" max="1" width="23.83203125" bestFit="1" customWidth="1"/>
    <col min="2" max="2" width="22.5" style="4" customWidth="1"/>
    <col min="3" max="3" width="11.5" style="4"/>
    <col min="4" max="4" width="16.33203125" style="4" bestFit="1" customWidth="1"/>
  </cols>
  <sheetData>
    <row r="1" spans="1:10" x14ac:dyDescent="0.15">
      <c r="A1" s="20"/>
      <c r="B1" s="30" t="s">
        <v>164</v>
      </c>
      <c r="C1" s="32"/>
      <c r="D1" s="32"/>
      <c r="E1" s="31"/>
      <c r="F1" s="31"/>
      <c r="G1" s="31"/>
      <c r="H1" s="20"/>
    </row>
    <row r="2" spans="1:10" x14ac:dyDescent="0.15">
      <c r="A2" s="5"/>
      <c r="B2" s="5" t="s">
        <v>100</v>
      </c>
      <c r="C2" s="5" t="s">
        <v>165</v>
      </c>
      <c r="D2" s="26" t="s">
        <v>166</v>
      </c>
      <c r="E2" s="26"/>
      <c r="F2" s="26"/>
      <c r="G2" s="26"/>
    </row>
    <row r="3" spans="1:10" x14ac:dyDescent="0.15">
      <c r="A3" s="1"/>
      <c r="B3" s="33" t="s">
        <v>167</v>
      </c>
      <c r="C3" s="34" t="s">
        <v>168</v>
      </c>
      <c r="D3" s="35"/>
      <c r="E3" s="27"/>
      <c r="F3" s="27"/>
      <c r="G3" s="27"/>
      <c r="H3" s="20" t="s">
        <v>169</v>
      </c>
    </row>
    <row r="4" spans="1:10" x14ac:dyDescent="0.15">
      <c r="A4" s="1"/>
      <c r="B4" s="33" t="s">
        <v>131</v>
      </c>
      <c r="C4" s="34" t="s">
        <v>170</v>
      </c>
      <c r="D4" s="35"/>
      <c r="E4" s="27"/>
      <c r="F4" s="27"/>
      <c r="G4" s="27"/>
      <c r="H4" s="84" t="s">
        <v>171</v>
      </c>
      <c r="I4" s="84"/>
    </row>
    <row r="5" spans="1:10" x14ac:dyDescent="0.15">
      <c r="A5" s="1"/>
      <c r="B5" s="33" t="s">
        <v>172</v>
      </c>
      <c r="C5" s="34" t="s">
        <v>173</v>
      </c>
      <c r="D5" s="35">
        <v>7</v>
      </c>
      <c r="E5" s="27"/>
      <c r="F5" s="27"/>
      <c r="G5" s="27"/>
      <c r="H5" s="6" t="s">
        <v>174</v>
      </c>
      <c r="I5" s="6" t="s">
        <v>175</v>
      </c>
    </row>
    <row r="6" spans="1:10" x14ac:dyDescent="0.15">
      <c r="A6" s="1"/>
      <c r="B6" s="33" t="s">
        <v>176</v>
      </c>
      <c r="C6" s="34" t="s">
        <v>177</v>
      </c>
      <c r="D6" s="35">
        <v>17</v>
      </c>
      <c r="E6" s="27"/>
      <c r="F6" s="27"/>
      <c r="G6" s="27"/>
      <c r="H6" s="6" t="s">
        <v>178</v>
      </c>
      <c r="I6" s="6" t="s">
        <v>179</v>
      </c>
    </row>
    <row r="7" spans="1:10" x14ac:dyDescent="0.15">
      <c r="A7" s="1"/>
      <c r="B7" s="33" t="s">
        <v>151</v>
      </c>
      <c r="C7" s="34" t="s">
        <v>180</v>
      </c>
      <c r="D7" s="35">
        <v>1</v>
      </c>
      <c r="E7" s="27"/>
      <c r="F7" s="27"/>
      <c r="G7" s="27"/>
      <c r="H7" s="6" t="s">
        <v>181</v>
      </c>
      <c r="I7" s="6" t="s">
        <v>182</v>
      </c>
    </row>
    <row r="8" spans="1:10" x14ac:dyDescent="0.15">
      <c r="A8" s="1"/>
      <c r="B8" s="33" t="s">
        <v>160</v>
      </c>
      <c r="C8" s="34" t="s">
        <v>183</v>
      </c>
      <c r="D8" s="35">
        <v>8</v>
      </c>
      <c r="E8" s="27"/>
      <c r="F8" s="27"/>
      <c r="G8" s="27"/>
    </row>
    <row r="9" spans="1:10" x14ac:dyDescent="0.15">
      <c r="A9" s="1"/>
      <c r="B9" s="33" t="s">
        <v>184</v>
      </c>
      <c r="C9" s="34" t="s">
        <v>185</v>
      </c>
      <c r="D9" s="35">
        <v>10</v>
      </c>
      <c r="E9" s="27"/>
      <c r="F9" s="27"/>
      <c r="G9" s="27"/>
      <c r="H9" s="20" t="s">
        <v>169</v>
      </c>
    </row>
    <row r="10" spans="1:10" x14ac:dyDescent="0.15">
      <c r="A10" s="1"/>
      <c r="B10" s="33" t="s">
        <v>186</v>
      </c>
      <c r="C10" s="34" t="s">
        <v>187</v>
      </c>
      <c r="D10" s="35">
        <v>4</v>
      </c>
      <c r="E10" s="27"/>
      <c r="F10" s="27"/>
      <c r="G10" s="27"/>
      <c r="H10" s="85" t="s">
        <v>188</v>
      </c>
      <c r="I10" s="85"/>
      <c r="J10" s="7" t="s">
        <v>189</v>
      </c>
    </row>
    <row r="11" spans="1:10" x14ac:dyDescent="0.15">
      <c r="A11" s="1"/>
      <c r="B11" s="33" t="s">
        <v>128</v>
      </c>
      <c r="C11" s="34" t="s">
        <v>190</v>
      </c>
      <c r="D11" s="35">
        <v>9</v>
      </c>
      <c r="E11" s="27"/>
      <c r="F11" s="27"/>
      <c r="G11" s="27"/>
      <c r="H11" s="6" t="s">
        <v>191</v>
      </c>
      <c r="I11" s="6" t="s">
        <v>192</v>
      </c>
      <c r="J11" s="8" t="s">
        <v>193</v>
      </c>
    </row>
    <row r="12" spans="1:10" x14ac:dyDescent="0.15">
      <c r="A12" s="1"/>
      <c r="B12" s="33" t="s">
        <v>194</v>
      </c>
      <c r="C12" s="34" t="s">
        <v>195</v>
      </c>
      <c r="D12" s="35">
        <v>8</v>
      </c>
      <c r="E12" s="27"/>
      <c r="F12" s="27"/>
      <c r="G12" s="27"/>
      <c r="H12" s="6" t="s">
        <v>196</v>
      </c>
      <c r="I12" s="6" t="s">
        <v>197</v>
      </c>
      <c r="J12" s="8" t="s">
        <v>198</v>
      </c>
    </row>
    <row r="13" spans="1:10" x14ac:dyDescent="0.15">
      <c r="A13" s="1"/>
      <c r="B13" s="33" t="s">
        <v>121</v>
      </c>
      <c r="C13" s="34" t="s">
        <v>199</v>
      </c>
      <c r="D13" s="35">
        <v>10</v>
      </c>
      <c r="E13" s="27"/>
      <c r="F13" s="27"/>
      <c r="G13" s="27"/>
      <c r="H13" s="6" t="s">
        <v>200</v>
      </c>
      <c r="I13" s="6" t="s">
        <v>201</v>
      </c>
      <c r="J13" s="8" t="s">
        <v>202</v>
      </c>
    </row>
    <row r="14" spans="1:10" x14ac:dyDescent="0.15">
      <c r="A14" s="1"/>
      <c r="B14" s="33" t="s">
        <v>203</v>
      </c>
      <c r="C14" s="34" t="s">
        <v>204</v>
      </c>
      <c r="D14" s="35">
        <v>1</v>
      </c>
      <c r="E14" s="27"/>
      <c r="F14" s="27"/>
      <c r="G14" s="27"/>
    </row>
    <row r="15" spans="1:10" x14ac:dyDescent="0.15">
      <c r="A15" s="1"/>
      <c r="B15" s="33" t="s">
        <v>140</v>
      </c>
      <c r="C15" s="34" t="s">
        <v>205</v>
      </c>
      <c r="D15" s="35">
        <v>17</v>
      </c>
      <c r="E15" s="27"/>
      <c r="F15" s="27"/>
      <c r="G15" s="27"/>
      <c r="H15" s="20" t="s">
        <v>169</v>
      </c>
    </row>
    <row r="16" spans="1:10" x14ac:dyDescent="0.15">
      <c r="A16" s="1"/>
      <c r="B16" s="33" t="s">
        <v>206</v>
      </c>
      <c r="C16" s="34" t="s">
        <v>207</v>
      </c>
      <c r="D16" s="35">
        <v>7</v>
      </c>
      <c r="E16" s="27"/>
      <c r="F16" s="27"/>
      <c r="G16" s="27"/>
      <c r="H16" s="2" t="s">
        <v>208</v>
      </c>
      <c r="I16" s="2" t="s">
        <v>93</v>
      </c>
    </row>
    <row r="17" spans="1:9" x14ac:dyDescent="0.15">
      <c r="A17" s="1"/>
      <c r="B17" s="33" t="s">
        <v>137</v>
      </c>
      <c r="C17" s="34" t="s">
        <v>209</v>
      </c>
      <c r="D17" s="35">
        <v>1</v>
      </c>
      <c r="E17" s="27"/>
      <c r="F17" s="27"/>
      <c r="G17" s="27"/>
      <c r="H17" s="3" t="s">
        <v>170</v>
      </c>
      <c r="I17" s="1" t="s">
        <v>210</v>
      </c>
    </row>
    <row r="18" spans="1:9" x14ac:dyDescent="0.15">
      <c r="A18" s="1"/>
      <c r="B18" s="33" t="s">
        <v>211</v>
      </c>
      <c r="C18" s="34" t="s">
        <v>212</v>
      </c>
      <c r="D18" s="35">
        <v>11</v>
      </c>
      <c r="E18" s="27"/>
      <c r="F18" s="27"/>
      <c r="G18" s="27"/>
      <c r="H18" s="3" t="s">
        <v>173</v>
      </c>
      <c r="I18" s="1" t="s">
        <v>213</v>
      </c>
    </row>
    <row r="19" spans="1:9" x14ac:dyDescent="0.15">
      <c r="A19" s="1"/>
      <c r="B19" s="33" t="s">
        <v>214</v>
      </c>
      <c r="C19" s="34" t="s">
        <v>215</v>
      </c>
      <c r="D19" s="35">
        <v>7</v>
      </c>
      <c r="E19" s="27"/>
      <c r="F19" s="27"/>
      <c r="G19" s="27"/>
      <c r="H19" s="3" t="s">
        <v>177</v>
      </c>
      <c r="I19" s="1" t="s">
        <v>216</v>
      </c>
    </row>
    <row r="20" spans="1:9" x14ac:dyDescent="0.15">
      <c r="A20" s="1"/>
      <c r="B20" s="33" t="s">
        <v>217</v>
      </c>
      <c r="C20" s="34" t="s">
        <v>218</v>
      </c>
      <c r="D20" s="35">
        <v>9</v>
      </c>
      <c r="E20" s="27"/>
      <c r="F20" s="27"/>
      <c r="G20" s="27"/>
      <c r="H20" s="3" t="s">
        <v>180</v>
      </c>
      <c r="I20" s="1" t="s">
        <v>159</v>
      </c>
    </row>
    <row r="21" spans="1:9" x14ac:dyDescent="0.15">
      <c r="A21" s="1"/>
      <c r="B21" s="33" t="s">
        <v>219</v>
      </c>
      <c r="C21" s="34" t="s">
        <v>220</v>
      </c>
      <c r="D21" s="35">
        <v>1</v>
      </c>
      <c r="E21" s="27"/>
      <c r="F21" s="27"/>
      <c r="G21" s="27"/>
      <c r="H21" s="3" t="s">
        <v>183</v>
      </c>
      <c r="I21" s="1" t="s">
        <v>221</v>
      </c>
    </row>
    <row r="22" spans="1:9" x14ac:dyDescent="0.15">
      <c r="A22" s="1"/>
      <c r="B22" s="33" t="s">
        <v>222</v>
      </c>
      <c r="C22" s="34" t="s">
        <v>223</v>
      </c>
      <c r="D22" s="35">
        <v>7</v>
      </c>
      <c r="E22" s="27"/>
      <c r="F22" s="27"/>
      <c r="G22" s="27"/>
      <c r="H22" s="3" t="s">
        <v>185</v>
      </c>
      <c r="I22" s="1" t="s">
        <v>138</v>
      </c>
    </row>
    <row r="23" spans="1:9" x14ac:dyDescent="0.15">
      <c r="A23" s="1"/>
      <c r="B23" s="33" t="s">
        <v>116</v>
      </c>
      <c r="C23" s="34" t="s">
        <v>224</v>
      </c>
      <c r="D23" s="35"/>
      <c r="E23" s="27"/>
      <c r="F23" s="27"/>
      <c r="G23" s="27"/>
      <c r="H23" s="3" t="s">
        <v>187</v>
      </c>
      <c r="I23" s="1" t="s">
        <v>225</v>
      </c>
    </row>
    <row r="24" spans="1:9" x14ac:dyDescent="0.15">
      <c r="A24" s="1"/>
      <c r="B24" s="33" t="s">
        <v>226</v>
      </c>
      <c r="C24" s="34" t="s">
        <v>227</v>
      </c>
      <c r="D24" s="35">
        <v>1</v>
      </c>
      <c r="E24" s="27"/>
      <c r="F24" s="27"/>
      <c r="G24" s="27"/>
      <c r="H24" s="3" t="s">
        <v>190</v>
      </c>
      <c r="I24" s="1" t="s">
        <v>228</v>
      </c>
    </row>
    <row r="25" spans="1:9" x14ac:dyDescent="0.15">
      <c r="A25" s="1"/>
      <c r="B25" s="33" t="s">
        <v>229</v>
      </c>
      <c r="C25" s="34" t="s">
        <v>230</v>
      </c>
      <c r="D25" s="35">
        <v>2</v>
      </c>
      <c r="E25" s="27"/>
      <c r="F25" s="27"/>
      <c r="G25" s="27"/>
      <c r="H25" s="3" t="s">
        <v>195</v>
      </c>
      <c r="I25" s="1" t="s">
        <v>231</v>
      </c>
    </row>
    <row r="26" spans="1:9" x14ac:dyDescent="0.15">
      <c r="A26" s="1"/>
      <c r="B26" s="33" t="s">
        <v>232</v>
      </c>
      <c r="C26" s="34" t="s">
        <v>233</v>
      </c>
      <c r="D26" s="35">
        <v>1</v>
      </c>
      <c r="E26" s="27"/>
      <c r="F26" s="27"/>
      <c r="G26" s="27"/>
      <c r="H26" s="3" t="s">
        <v>199</v>
      </c>
      <c r="I26" s="1" t="s">
        <v>234</v>
      </c>
    </row>
    <row r="27" spans="1:9" x14ac:dyDescent="0.15">
      <c r="A27" s="1"/>
      <c r="B27" s="33" t="s">
        <v>132</v>
      </c>
      <c r="C27" s="34" t="s">
        <v>235</v>
      </c>
      <c r="D27" s="35">
        <v>8</v>
      </c>
      <c r="E27" s="27"/>
      <c r="F27" s="27"/>
      <c r="G27" s="27"/>
      <c r="H27" s="3" t="s">
        <v>204</v>
      </c>
      <c r="I27" s="1" t="s">
        <v>236</v>
      </c>
    </row>
    <row r="28" spans="1:9" x14ac:dyDescent="0.15">
      <c r="A28" s="1"/>
      <c r="B28" s="33" t="s">
        <v>237</v>
      </c>
      <c r="C28" s="34" t="s">
        <v>238</v>
      </c>
      <c r="D28" s="35">
        <v>9</v>
      </c>
      <c r="E28" s="27"/>
      <c r="F28" s="27"/>
      <c r="G28" s="27"/>
      <c r="H28" s="3" t="s">
        <v>205</v>
      </c>
      <c r="I28" s="1" t="s">
        <v>112</v>
      </c>
    </row>
    <row r="29" spans="1:9" x14ac:dyDescent="0.15">
      <c r="A29" s="1"/>
      <c r="B29" s="33" t="s">
        <v>239</v>
      </c>
      <c r="C29" s="34" t="s">
        <v>240</v>
      </c>
      <c r="D29" s="35">
        <v>16</v>
      </c>
      <c r="E29" s="27"/>
      <c r="F29" s="27"/>
      <c r="G29" s="27"/>
      <c r="H29" s="3" t="s">
        <v>207</v>
      </c>
      <c r="I29" s="1" t="s">
        <v>241</v>
      </c>
    </row>
    <row r="30" spans="1:9" x14ac:dyDescent="0.15">
      <c r="A30" s="1"/>
      <c r="B30" s="33" t="s">
        <v>242</v>
      </c>
      <c r="C30" s="34" t="s">
        <v>243</v>
      </c>
      <c r="D30" s="35">
        <v>11</v>
      </c>
      <c r="E30" s="27"/>
      <c r="F30" s="27"/>
      <c r="G30" s="27"/>
      <c r="H30" s="3" t="s">
        <v>215</v>
      </c>
      <c r="I30" s="1" t="s">
        <v>153</v>
      </c>
    </row>
    <row r="31" spans="1:9" x14ac:dyDescent="0.15">
      <c r="A31" s="1"/>
      <c r="B31" s="33" t="s">
        <v>244</v>
      </c>
      <c r="C31" s="34" t="s">
        <v>245</v>
      </c>
      <c r="D31" s="35">
        <v>12</v>
      </c>
      <c r="E31" s="27"/>
      <c r="F31" s="27"/>
      <c r="G31" s="27"/>
      <c r="H31" s="3" t="s">
        <v>218</v>
      </c>
      <c r="I31" s="1" t="s">
        <v>246</v>
      </c>
    </row>
    <row r="32" spans="1:9" x14ac:dyDescent="0.15">
      <c r="A32" s="1"/>
      <c r="B32" s="33" t="s">
        <v>124</v>
      </c>
      <c r="C32" s="34" t="s">
        <v>247</v>
      </c>
      <c r="D32" s="35">
        <v>1</v>
      </c>
      <c r="E32" s="27"/>
      <c r="F32" s="27"/>
      <c r="G32" s="27"/>
    </row>
    <row r="33" spans="1:7" x14ac:dyDescent="0.15">
      <c r="A33" s="1"/>
      <c r="B33" s="33" t="s">
        <v>248</v>
      </c>
      <c r="C33" s="34" t="s">
        <v>249</v>
      </c>
      <c r="D33" s="35">
        <v>13</v>
      </c>
      <c r="E33" s="27"/>
      <c r="F33" s="27"/>
      <c r="G33" s="27"/>
    </row>
    <row r="34" spans="1:7" x14ac:dyDescent="0.15">
      <c r="A34" s="1"/>
      <c r="B34" s="33" t="s">
        <v>250</v>
      </c>
      <c r="C34" s="34" t="s">
        <v>251</v>
      </c>
      <c r="D34" s="35"/>
      <c r="E34" s="27"/>
      <c r="F34" s="27"/>
      <c r="G34" s="27"/>
    </row>
    <row r="35" spans="1:7" x14ac:dyDescent="0.15">
      <c r="A35" s="1"/>
      <c r="B35" s="33" t="s">
        <v>252</v>
      </c>
      <c r="C35" s="34" t="s">
        <v>253</v>
      </c>
      <c r="D35" s="35">
        <v>11</v>
      </c>
      <c r="E35" s="27"/>
      <c r="F35" s="27"/>
      <c r="G35" s="27"/>
    </row>
    <row r="36" spans="1:7" x14ac:dyDescent="0.15">
      <c r="A36" s="1"/>
      <c r="B36" s="33" t="s">
        <v>254</v>
      </c>
      <c r="C36" s="34" t="s">
        <v>255</v>
      </c>
      <c r="D36" s="35">
        <v>3</v>
      </c>
      <c r="E36" s="27"/>
      <c r="F36" s="27"/>
      <c r="G36" s="27"/>
    </row>
    <row r="37" spans="1:7" x14ac:dyDescent="0.15">
      <c r="A37" s="1"/>
      <c r="B37" s="33" t="s">
        <v>256</v>
      </c>
      <c r="C37" s="34" t="s">
        <v>257</v>
      </c>
      <c r="D37" s="35">
        <v>8</v>
      </c>
      <c r="E37" s="27"/>
      <c r="F37" s="27"/>
      <c r="G37" s="27"/>
    </row>
    <row r="38" spans="1:7" x14ac:dyDescent="0.15">
      <c r="A38" s="1"/>
      <c r="B38" s="33" t="s">
        <v>258</v>
      </c>
      <c r="C38" s="34" t="s">
        <v>259</v>
      </c>
      <c r="D38" s="35"/>
      <c r="E38" s="27"/>
      <c r="F38" s="27"/>
      <c r="G38" s="27"/>
    </row>
    <row r="39" spans="1:7" x14ac:dyDescent="0.15">
      <c r="A39" s="1"/>
      <c r="B39" s="33" t="s">
        <v>260</v>
      </c>
      <c r="C39" s="34" t="s">
        <v>261</v>
      </c>
      <c r="D39" s="35">
        <v>11</v>
      </c>
      <c r="E39" s="27"/>
      <c r="F39" s="27"/>
      <c r="G39" s="27"/>
    </row>
    <row r="40" spans="1:7" x14ac:dyDescent="0.15">
      <c r="A40" s="1"/>
      <c r="B40" s="33" t="s">
        <v>262</v>
      </c>
      <c r="C40" s="34" t="s">
        <v>263</v>
      </c>
      <c r="D40" s="35">
        <v>8</v>
      </c>
      <c r="E40" s="27"/>
      <c r="F40" s="27"/>
      <c r="G40" s="27"/>
    </row>
    <row r="41" spans="1:7" x14ac:dyDescent="0.15">
      <c r="A41" s="1"/>
      <c r="B41" s="33" t="s">
        <v>264</v>
      </c>
      <c r="C41" s="34" t="s">
        <v>265</v>
      </c>
      <c r="D41" s="35"/>
      <c r="E41" s="27"/>
      <c r="F41" s="27"/>
      <c r="G41" s="27"/>
    </row>
    <row r="42" spans="1:7" x14ac:dyDescent="0.15">
      <c r="A42" s="1"/>
      <c r="B42" s="33" t="s">
        <v>266</v>
      </c>
      <c r="C42" s="34" t="s">
        <v>267</v>
      </c>
      <c r="D42" s="35">
        <v>6</v>
      </c>
      <c r="E42" s="27"/>
      <c r="F42" s="27"/>
      <c r="G42" s="27"/>
    </row>
    <row r="43" spans="1:7" x14ac:dyDescent="0.15">
      <c r="A43" s="1"/>
      <c r="B43" s="33" t="s">
        <v>268</v>
      </c>
      <c r="C43" s="34" t="s">
        <v>269</v>
      </c>
      <c r="D43" s="35">
        <v>8</v>
      </c>
      <c r="E43" s="27"/>
      <c r="F43" s="27"/>
      <c r="G43" s="27"/>
    </row>
    <row r="44" spans="1:7" x14ac:dyDescent="0.15">
      <c r="A44" s="1"/>
      <c r="B44" s="33" t="s">
        <v>270</v>
      </c>
      <c r="C44" s="34" t="s">
        <v>271</v>
      </c>
      <c r="D44" s="35">
        <v>1</v>
      </c>
      <c r="E44" s="27"/>
      <c r="F44" s="27"/>
      <c r="G44" s="27"/>
    </row>
    <row r="45" spans="1:7" x14ac:dyDescent="0.15">
      <c r="A45" s="1"/>
      <c r="B45" s="33" t="s">
        <v>272</v>
      </c>
      <c r="C45" s="34" t="s">
        <v>273</v>
      </c>
      <c r="D45" s="35">
        <v>8</v>
      </c>
      <c r="E45" s="27"/>
      <c r="F45" s="27"/>
      <c r="G45" s="27"/>
    </row>
    <row r="46" spans="1:7" x14ac:dyDescent="0.15">
      <c r="A46" s="1"/>
      <c r="B46" s="33" t="s">
        <v>274</v>
      </c>
      <c r="C46" s="34" t="s">
        <v>275</v>
      </c>
      <c r="D46" s="35">
        <v>9</v>
      </c>
      <c r="E46" s="27"/>
      <c r="F46" s="27"/>
      <c r="G46" s="27"/>
    </row>
    <row r="47" spans="1:7" x14ac:dyDescent="0.15">
      <c r="A47" s="1"/>
      <c r="B47" s="33" t="s">
        <v>276</v>
      </c>
      <c r="C47" s="34" t="s">
        <v>277</v>
      </c>
      <c r="D47" s="35">
        <v>2</v>
      </c>
      <c r="E47" s="27"/>
      <c r="F47" s="27"/>
      <c r="G47" s="27"/>
    </row>
    <row r="48" spans="1:7" x14ac:dyDescent="0.15">
      <c r="A48" s="1"/>
      <c r="B48" s="33" t="s">
        <v>278</v>
      </c>
      <c r="C48" s="34" t="s">
        <v>279</v>
      </c>
      <c r="D48" s="35">
        <v>7</v>
      </c>
      <c r="E48" s="27"/>
      <c r="F48" s="27"/>
      <c r="G48" s="27"/>
    </row>
    <row r="49" spans="1:7" x14ac:dyDescent="0.15">
      <c r="A49" s="1"/>
      <c r="B49" s="33" t="s">
        <v>280</v>
      </c>
      <c r="C49" s="34" t="s">
        <v>281</v>
      </c>
      <c r="D49" s="35">
        <v>17</v>
      </c>
      <c r="E49" s="27"/>
      <c r="F49" s="27"/>
      <c r="G49" s="27"/>
    </row>
    <row r="50" spans="1:7" x14ac:dyDescent="0.15">
      <c r="A50" s="1"/>
      <c r="B50" s="33" t="s">
        <v>282</v>
      </c>
      <c r="C50" s="34" t="s">
        <v>283</v>
      </c>
      <c r="D50" s="35">
        <v>8</v>
      </c>
      <c r="E50" s="27"/>
      <c r="F50" s="27"/>
      <c r="G50" s="27"/>
    </row>
    <row r="51" spans="1:7" x14ac:dyDescent="0.15">
      <c r="A51" s="1"/>
      <c r="B51" s="33" t="s">
        <v>284</v>
      </c>
      <c r="C51" s="34" t="s">
        <v>285</v>
      </c>
      <c r="D51" s="35"/>
      <c r="E51" s="27"/>
      <c r="F51" s="27"/>
      <c r="G51" s="27"/>
    </row>
    <row r="52" spans="1:7" x14ac:dyDescent="0.15">
      <c r="A52" s="1"/>
      <c r="B52" s="33" t="s">
        <v>286</v>
      </c>
      <c r="C52" s="34" t="s">
        <v>287</v>
      </c>
      <c r="D52" s="35">
        <v>8</v>
      </c>
      <c r="E52" s="27"/>
      <c r="F52" s="27"/>
      <c r="G52" s="27"/>
    </row>
    <row r="53" spans="1:7" x14ac:dyDescent="0.15">
      <c r="A53" s="1"/>
      <c r="B53" s="33" t="s">
        <v>288</v>
      </c>
      <c r="C53" s="34" t="s">
        <v>289</v>
      </c>
      <c r="D53" s="35">
        <v>2</v>
      </c>
      <c r="E53" s="27"/>
      <c r="F53" s="27"/>
      <c r="G53" s="27"/>
    </row>
    <row r="54" spans="1:7" x14ac:dyDescent="0.15">
      <c r="A54" s="1"/>
      <c r="B54" s="33" t="s">
        <v>290</v>
      </c>
      <c r="C54" s="34" t="s">
        <v>291</v>
      </c>
      <c r="D54" s="35">
        <v>0</v>
      </c>
      <c r="E54" s="27"/>
      <c r="F54" s="27"/>
      <c r="G54" s="27"/>
    </row>
    <row r="55" spans="1:7" x14ac:dyDescent="0.15">
      <c r="A55" s="1"/>
      <c r="B55" s="33" t="s">
        <v>292</v>
      </c>
      <c r="C55" s="34" t="s">
        <v>293</v>
      </c>
      <c r="D55" s="35"/>
      <c r="E55" s="27"/>
      <c r="F55" s="27"/>
      <c r="G55" s="27"/>
    </row>
    <row r="56" spans="1:7" x14ac:dyDescent="0.15">
      <c r="A56" s="1"/>
      <c r="B56" s="33" t="s">
        <v>294</v>
      </c>
      <c r="C56" s="34">
        <v>99</v>
      </c>
      <c r="D56" s="35"/>
      <c r="E56" s="27"/>
      <c r="F56" s="27"/>
      <c r="G56" s="27"/>
    </row>
    <row r="57" spans="1:7" x14ac:dyDescent="0.15">
      <c r="B57" s="4" t="s">
        <v>147</v>
      </c>
      <c r="C57" s="4">
        <v>15</v>
      </c>
      <c r="D57" s="4">
        <v>11</v>
      </c>
    </row>
    <row r="58" spans="1:7" x14ac:dyDescent="0.15">
      <c r="B58" s="4" t="s">
        <v>148</v>
      </c>
      <c r="C58" s="4">
        <v>17</v>
      </c>
      <c r="D58" s="4">
        <v>9</v>
      </c>
    </row>
    <row r="59" spans="1:7" x14ac:dyDescent="0.15">
      <c r="B59" s="45" t="s">
        <v>149</v>
      </c>
      <c r="C59" s="4">
        <v>48</v>
      </c>
    </row>
    <row r="60" spans="1:7" x14ac:dyDescent="0.15">
      <c r="B60" s="4" t="s">
        <v>157</v>
      </c>
      <c r="C60" s="4">
        <v>25</v>
      </c>
      <c r="D60" s="4">
        <v>9</v>
      </c>
    </row>
    <row r="61" spans="1:7" x14ac:dyDescent="0.15">
      <c r="B61" s="45" t="s">
        <v>159</v>
      </c>
      <c r="C61" s="4">
        <v>7</v>
      </c>
      <c r="D61" s="4">
        <v>4</v>
      </c>
    </row>
    <row r="62" spans="1:7" x14ac:dyDescent="0.15">
      <c r="B62" s="44" t="s">
        <v>161</v>
      </c>
    </row>
  </sheetData>
  <mergeCells count="2">
    <mergeCell ref="H4:I4"/>
    <mergeCell ref="H10:I10"/>
  </mergeCells>
  <phoneticPr fontId="1" type="noConversion"/>
  <pageMargins left="0.75" right="0.75" top="1" bottom="1" header="0" footer="0"/>
  <headerFooter alignWithMargins="0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lcf76f155ced4ddcb4097134ff3c332f xmlns="f1e90fb5-0832-46f7-936c-f96c666daade">
      <Terms xmlns="http://schemas.microsoft.com/office/infopath/2007/PartnerControls"/>
    </lcf76f155ced4ddcb4097134ff3c332f>
    <_ip_UnifiedCompliancePolicyProperties xmlns="http://schemas.microsoft.com/sharepoint/v3" xsi:nil="true"/>
    <TaxCatchAll xmlns="25eb1c06-779b-4f7b-b5cd-9e9d943813b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A0D401ED55C264A8F59DAEEEB0A37E2" ma:contentTypeVersion="18" ma:contentTypeDescription="Crear nuevo documento." ma:contentTypeScope="" ma:versionID="f5d004968c27e7ba4fba51278f4d5a36">
  <xsd:schema xmlns:xsd="http://www.w3.org/2001/XMLSchema" xmlns:xs="http://www.w3.org/2001/XMLSchema" xmlns:p="http://schemas.microsoft.com/office/2006/metadata/properties" xmlns:ns1="http://schemas.microsoft.com/sharepoint/v3" xmlns:ns2="f1e90fb5-0832-46f7-936c-f96c666daade" xmlns:ns3="25eb1c06-779b-4f7b-b5cd-9e9d943813b5" targetNamespace="http://schemas.microsoft.com/office/2006/metadata/properties" ma:root="true" ma:fieldsID="d624892a986b923888d13d40b7999df5" ns1:_="" ns2:_="" ns3:_="">
    <xsd:import namespace="http://schemas.microsoft.com/sharepoint/v3"/>
    <xsd:import namespace="f1e90fb5-0832-46f7-936c-f96c666daade"/>
    <xsd:import namespace="25eb1c06-779b-4f7b-b5cd-9e9d943813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3:SharedWithUsers" minOccurs="0"/>
                <xsd:element ref="ns3:SharedWithDetails" minOccurs="0"/>
                <xsd:element ref="ns1:_ip_UnifiedCompliancePolicyProperties" minOccurs="0"/>
                <xsd:element ref="ns1:_ip_UnifiedCompliancePolicyUIAction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Propiedades de la Directiva de cumplimiento unificado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Acción de IU de la Directiva de cumplimiento unificado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e90fb5-0832-46f7-936c-f96c666daad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2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4" nillable="true" ma:taxonomy="true" ma:internalName="lcf76f155ced4ddcb4097134ff3c332f" ma:taxonomyFieldName="MediaServiceImageTags" ma:displayName="Etiquetas de imagen" ma:readOnly="false" ma:fieldId="{5cf76f15-5ced-4ddc-b409-7134ff3c332f}" ma:taxonomyMulti="true" ma:sspId="a7d2c1d8-a0ad-4bdf-83cc-d41e233f499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eb1c06-779b-4f7b-b5cd-9e9d943813b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b49cf622-0be9-4b14-ab30-844ce5a150dc}" ma:internalName="TaxCatchAll" ma:showField="CatchAllData" ma:web="25eb1c06-779b-4f7b-b5cd-9e9d943813b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C7E3286-E1ED-46C0-9EB8-B5C20EE570A5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f1e90fb5-0832-46f7-936c-f96c666daade"/>
    <ds:schemaRef ds:uri="25eb1c06-779b-4f7b-b5cd-9e9d943813b5"/>
  </ds:schemaRefs>
</ds:datastoreItem>
</file>

<file path=customXml/itemProps2.xml><?xml version="1.0" encoding="utf-8"?>
<ds:datastoreItem xmlns:ds="http://schemas.openxmlformats.org/officeDocument/2006/customXml" ds:itemID="{F3167D0E-915D-4921-B3B5-CBF5B62D247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2861DB1-230C-4A83-99E7-054A07C1A4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1e90fb5-0832-46f7-936c-f96c666daade"/>
    <ds:schemaRef ds:uri="25eb1c06-779b-4f7b-b5cd-9e9d943813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PRESENTADOR</vt:lpstr>
      <vt:lpstr>SOCIOSYDATOS</vt:lpstr>
      <vt:lpstr>PROVINCIAS</vt:lpstr>
      <vt:lpstr>MSGBOX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Hugo Vázquez Alonso</cp:lastModifiedBy>
  <cp:revision/>
  <dcterms:created xsi:type="dcterms:W3CDTF">2015-07-21T20:56:27Z</dcterms:created>
  <dcterms:modified xsi:type="dcterms:W3CDTF">2023-10-02T06:53:50Z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0x0101001A0D401ED55C264A8F59DAEEEB0A37E2</vt:lpwstr>
  </property>
  <property fmtid="{D5CDD505-2E9C-101B-9397-08002B2CF9AE}" pid="3" name="MediaServiceImageTags">
    <vt:lpwstr/>
  </property>
</Properties>
</file>